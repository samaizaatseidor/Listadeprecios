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idor-my.sharepoint.com/personal/navani_avelar_seidor_es/Documents/0 NAF/2026/1. ALTAS/"/>
    </mc:Choice>
  </mc:AlternateContent>
  <xr:revisionPtr revIDLastSave="259" documentId="8_{85EF069E-879F-4EE4-B9E8-E875DD319524}" xr6:coauthVersionLast="47" xr6:coauthVersionMax="47" xr10:uidLastSave="{EC5426FD-4943-4D10-8264-48E183043B58}"/>
  <workbookProtection workbookAlgorithmName="SHA-512" workbookHashValue="wz2+lZfqWrX8LfXgI9yrvGfPRwmQ/GLWHt/t+/KeK3Oz3SIW5T2Xc6SQ6bJIN0kASQmaP4zJvmezZFwkY/O1bA==" workbookSaltValue="aNa8rAI9VB7wrTioI2kbZQ==" workbookSpinCount="100000" lockStructure="1"/>
  <bookViews>
    <workbookView xWindow="-108" yWindow="-108" windowWidth="23256" windowHeight="13896" xr2:uid="{E992539C-2834-4AB2-AAE9-DCFE3C1C7829}"/>
  </bookViews>
  <sheets>
    <sheet name="SALES" sheetId="1" r:id="rId1"/>
    <sheet name="LISTA" sheetId="2" state="hidden" r:id="rId2"/>
  </sheets>
  <definedNames>
    <definedName name="_xlnm.Print_Area" localSheetId="0">SALES!$B$1:$AB$78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N96" i="1" l="1"/>
  <c r="D3" i="1" l="1"/>
  <c r="R3" i="1"/>
  <c r="R42" i="1"/>
  <c r="R41" i="1"/>
  <c r="R40" i="1"/>
  <c r="R39" i="1"/>
  <c r="Q37" i="1"/>
  <c r="Q41" i="1" l="1"/>
  <c r="Q40" i="1"/>
  <c r="Y40" i="1" l="1"/>
  <c r="AA40" i="1" s="1"/>
  <c r="Y41" i="1"/>
  <c r="AA41" i="1" s="1"/>
  <c r="K44" i="1" l="1"/>
  <c r="I44" i="1"/>
  <c r="Q42" i="1"/>
  <c r="Q39" i="1"/>
  <c r="R38" i="1"/>
  <c r="Q38" i="1"/>
  <c r="R37" i="1"/>
  <c r="R44" i="1" l="1"/>
  <c r="Q44" i="1"/>
  <c r="Y38" i="1"/>
  <c r="AA38" i="1" s="1"/>
  <c r="Y42" i="1"/>
  <c r="AA42" i="1" s="1"/>
  <c r="Y39" i="1"/>
  <c r="AA39" i="1" s="1"/>
  <c r="Y37" i="1"/>
  <c r="AA37" i="1" s="1"/>
  <c r="K74" i="1" l="1"/>
  <c r="Q19" i="1"/>
  <c r="R51" i="1"/>
  <c r="Y44" i="1"/>
  <c r="D51" i="1" s="1"/>
  <c r="Q51" i="1" l="1"/>
  <c r="R19" i="1"/>
  <c r="AA44" i="1"/>
  <c r="Q24" i="1"/>
  <c r="M60" i="1" l="1"/>
  <c r="AC60" i="1" s="1"/>
  <c r="AE60" i="1" s="1"/>
  <c r="M59" i="1"/>
  <c r="AC59" i="1" s="1"/>
  <c r="AE59" i="1" s="1"/>
  <c r="M61" i="1"/>
  <c r="AC61" i="1" s="1"/>
  <c r="AE61" i="1" s="1"/>
  <c r="M66" i="1"/>
  <c r="AC66" i="1" s="1"/>
  <c r="AE66" i="1" s="1"/>
  <c r="M70" i="1"/>
  <c r="AC70" i="1" s="1"/>
  <c r="AE70" i="1" s="1"/>
  <c r="M72" i="1"/>
  <c r="AC72" i="1" s="1"/>
  <c r="AE72" i="1" s="1"/>
  <c r="M62" i="1"/>
  <c r="AC62" i="1" s="1"/>
  <c r="AE62" i="1" s="1"/>
  <c r="M63" i="1"/>
  <c r="AC63" i="1" s="1"/>
  <c r="AE63" i="1" s="1"/>
  <c r="M64" i="1"/>
  <c r="AC64" i="1" s="1"/>
  <c r="AE64" i="1" s="1"/>
  <c r="M65" i="1"/>
  <c r="AC65" i="1" s="1"/>
  <c r="AE65" i="1" s="1"/>
  <c r="M67" i="1"/>
  <c r="AC67" i="1" s="1"/>
  <c r="AE67" i="1" s="1"/>
  <c r="M71" i="1"/>
  <c r="AC71" i="1" s="1"/>
  <c r="AE71" i="1" s="1"/>
  <c r="M68" i="1"/>
  <c r="AC68" i="1" s="1"/>
  <c r="AE68" i="1" s="1"/>
  <c r="M69" i="1"/>
  <c r="AC69" i="1" s="1"/>
  <c r="AE69" i="1" s="1"/>
  <c r="M73" i="1"/>
  <c r="AC73" i="1" s="1"/>
  <c r="AE73" i="1" s="1"/>
  <c r="Q30" i="1"/>
  <c r="R30" i="1" s="1"/>
  <c r="R24" i="1"/>
  <c r="Y51" i="1"/>
  <c r="AA51" i="1" s="1"/>
  <c r="N44" i="1"/>
  <c r="AE74" i="1" l="1"/>
  <c r="M74" i="1"/>
  <c r="AC74" i="1"/>
  <c r="Q31" i="1"/>
</calcChain>
</file>

<file path=xl/sharedStrings.xml><?xml version="1.0" encoding="utf-8"?>
<sst xmlns="http://schemas.openxmlformats.org/spreadsheetml/2006/main" count="238" uniqueCount="199">
  <si>
    <t>Fecha</t>
  </si>
  <si>
    <t>INFORMACIÓN FISCAL DEL CLIENTE</t>
  </si>
  <si>
    <t>INFORMACIÓN DEL PROYECTO</t>
  </si>
  <si>
    <t>ID OP_CRM</t>
  </si>
  <si>
    <t>NOMBRE COMERCIAL</t>
  </si>
  <si>
    <t>NOMBRE DEL PROYECTO</t>
  </si>
  <si>
    <t>¿EXISTE PEP DEL CLIENTE?</t>
  </si>
  <si>
    <t>RAZÓN SOCIAL</t>
  </si>
  <si>
    <t xml:space="preserve">VERSIÓN </t>
  </si>
  <si>
    <t>PEP</t>
  </si>
  <si>
    <t>RFC</t>
  </si>
  <si>
    <t>FECHA DE INICIO DE PROYECTO</t>
  </si>
  <si>
    <t>DIRECCIÓN FISCAL</t>
  </si>
  <si>
    <t>FECHA FINAL DE PROYECTO</t>
  </si>
  <si>
    <t>TC SEGÚN CONTRATO (USD)</t>
  </si>
  <si>
    <t>TC REFEREN (MXN)</t>
  </si>
  <si>
    <t xml:space="preserve">LOCALIDAD </t>
  </si>
  <si>
    <t xml:space="preserve">NACIONAL </t>
  </si>
  <si>
    <t>EMPRESA QUE FACTURA</t>
  </si>
  <si>
    <t>SEIDOR MEXICO</t>
  </si>
  <si>
    <t>INTERCOMPANY/PARTNER CON</t>
  </si>
  <si>
    <t>NOMBRE DEL RESPONSABLE (COE)</t>
  </si>
  <si>
    <t>MONEDA DE VENTA</t>
  </si>
  <si>
    <t>INFORMACIÓN DEL CONTACTO - CLIENTE</t>
  </si>
  <si>
    <t>USD</t>
  </si>
  <si>
    <t>LÍDER DEL PROYECTO</t>
  </si>
  <si>
    <t>SOLUCIONES Y/O PRODUCTOS INCLUIDOS EN EL PROYECTO</t>
  </si>
  <si>
    <t>TELÉFONO</t>
  </si>
  <si>
    <t>CORREO</t>
  </si>
  <si>
    <t>MARCA CON X SEGÚN CORRESPONDA</t>
  </si>
  <si>
    <t>CONTACTO CUENTAS POR PAGAR</t>
  </si>
  <si>
    <t>LICEN SAP (Venta de Licencias)</t>
  </si>
  <si>
    <t>ANUAL (Mantenimiento)</t>
  </si>
  <si>
    <t>VENTA TOTAL SIN MTTO</t>
  </si>
  <si>
    <t>SUSC. SAP  (Venta de Susc.)</t>
  </si>
  <si>
    <t>SUSC. CCFLEX INCLUYE:</t>
  </si>
  <si>
    <t>MXN</t>
  </si>
  <si>
    <t>HOSTING (AWS, AZURE, SKYONE, HUAWEI)</t>
  </si>
  <si>
    <t>INFORMACIÓN FACTURACIÓN - CLIENTE</t>
  </si>
  <si>
    <t>SOLICTA ODC</t>
  </si>
  <si>
    <t>NO</t>
  </si>
  <si>
    <t>INFORMACIÓN RESPONSABLES DE SEIDOR MEXICO</t>
  </si>
  <si>
    <t>COSTO TOTAL SIN MTTO</t>
  </si>
  <si>
    <t>PORTAL WEB DE PROVEEDORES</t>
  </si>
  <si>
    <t>N/A</t>
  </si>
  <si>
    <t>DIRECTOR GENERAL</t>
  </si>
  <si>
    <t>PAUL RICHARD SIRRS DIAZ</t>
  </si>
  <si>
    <t>CONTRASEÑA</t>
  </si>
  <si>
    <t>DIRECTOR DE OPERACIONES</t>
  </si>
  <si>
    <t xml:space="preserve">EXPLICA EL PROCESO DE FACTURACIÓN Y COBRANZA </t>
  </si>
  <si>
    <t>GERENTE BU</t>
  </si>
  <si>
    <t>Las facturas se envían a los correos mencionados.</t>
  </si>
  <si>
    <t>DIVISIÓN COMERCIAL BU</t>
  </si>
  <si>
    <t>EJECUTIVO COMERCIAL</t>
  </si>
  <si>
    <t>MARGEN TOTAL</t>
  </si>
  <si>
    <t>CÁLCULO DE COSTOS Y MARGEN DEL PROYECTO</t>
  </si>
  <si>
    <t xml:space="preserve">CONCEPTO </t>
  </si>
  <si>
    <t>COSTO UNITARIO</t>
  </si>
  <si>
    <t>VENTA UNITARIA</t>
  </si>
  <si>
    <t>DÍAS / UNIDADES</t>
  </si>
  <si>
    <t>TOTAL COSTO</t>
  </si>
  <si>
    <t>TOTAL VENTA</t>
  </si>
  <si>
    <t>MARGEN FINAL</t>
  </si>
  <si>
    <t>% MARGEN</t>
  </si>
  <si>
    <t>MONTO TOTAL VENTA</t>
  </si>
  <si>
    <t>SOLO SÍ APLICA*          DATOS EBM (ALIADO COMERCIAL)</t>
  </si>
  <si>
    <t>HAY EBM EN EL PROYECTO</t>
  </si>
  <si>
    <t>RAZÓN SOCIAL EBM</t>
  </si>
  <si>
    <t xml:space="preserve">COMISIÓN ES CON BASE A </t>
  </si>
  <si>
    <t>PORCENTAJE COMISIÓN</t>
  </si>
  <si>
    <t>TOTAL POR PAGAR A EBM</t>
  </si>
  <si>
    <t>MONTO TOTAL INCLUYENDO EBM</t>
  </si>
  <si>
    <t>MONEDA DE PAGO</t>
  </si>
  <si>
    <t>FACTURACIÓN</t>
  </si>
  <si>
    <t>ORDEN DE COMPRA EBM (SOLO SÍ APLICA)</t>
  </si>
  <si>
    <t>DESCRIPCIÓN DE LA FACTURA</t>
  </si>
  <si>
    <t>TIPO</t>
  </si>
  <si>
    <t>DIVISIÓN</t>
  </si>
  <si>
    <t>NO. CUOTAS</t>
  </si>
  <si>
    <t>MONEDA</t>
  </si>
  <si>
    <t xml:space="preserve">IMPORTE </t>
  </si>
  <si>
    <t>% VENTA</t>
  </si>
  <si>
    <t>FECHA FACTURA</t>
  </si>
  <si>
    <t>RECURRENCIA</t>
  </si>
  <si>
    <t>COND. DE PAGO</t>
  </si>
  <si>
    <t xml:space="preserve">REQUIERE V.o.B.o </t>
  </si>
  <si>
    <t>MONTO OC POR HITO</t>
  </si>
  <si>
    <t>No. CUOTAS</t>
  </si>
  <si>
    <t>28/05/2025 TBC</t>
  </si>
  <si>
    <t xml:space="preserve">28/06/2025 TBC </t>
  </si>
  <si>
    <t>OBSERVACIONES DE FACTURACIÓN Y ENVÍO</t>
  </si>
  <si>
    <t>COSTOS A RECIBIR TERCEROS         *SOLO APLICA PARA SOFTWARE (LICENCIAS, SUSC., MTTO., HOSTING)</t>
  </si>
  <si>
    <t>NOMBRE DEL PROVEEDOR</t>
  </si>
  <si>
    <t>CODIGO DE PROVEEDOR</t>
  </si>
  <si>
    <t>IMPORTE</t>
  </si>
  <si>
    <t>SI</t>
  </si>
  <si>
    <t>ARACELI PEÑALOZA</t>
  </si>
  <si>
    <t>CESAR MONTERO</t>
  </si>
  <si>
    <t>ANAMARIA SILVA</t>
  </si>
  <si>
    <t>CUOTA ÚNICA</t>
  </si>
  <si>
    <t>SEIDOR ESPAÑA</t>
  </si>
  <si>
    <t>COSTO</t>
  </si>
  <si>
    <t>INTERNACIONAL</t>
  </si>
  <si>
    <t>FERNANDA RICHARDS</t>
  </si>
  <si>
    <t>MENSUAL</t>
  </si>
  <si>
    <t>SEIDOR ARGENTINA</t>
  </si>
  <si>
    <t>VENTA</t>
  </si>
  <si>
    <t>ROGELIO LEYVA</t>
  </si>
  <si>
    <t>FREDA JUÁREZ</t>
  </si>
  <si>
    <t>TRIMESTRAL</t>
  </si>
  <si>
    <t>SEIDOR EU</t>
  </si>
  <si>
    <t>MARGEN</t>
  </si>
  <si>
    <t>SERGIO OBREGÓN</t>
  </si>
  <si>
    <t>ARMANDO MIRANDA</t>
  </si>
  <si>
    <t>SEMESTRAL</t>
  </si>
  <si>
    <t>SEIDOR CHILE</t>
  </si>
  <si>
    <t>LAURA MARTINEZ</t>
  </si>
  <si>
    <t>ANUAL</t>
  </si>
  <si>
    <t>SEIDOR PERÚ</t>
  </si>
  <si>
    <t>OTRO (ESPECÍFICA)</t>
  </si>
  <si>
    <t>SERVICIOS DE CONSULTORÍA EN IMPLEMENTACIÓN, CAPACITACIÓN Y/O A ATM ( ERP-BYD-B1-ODOO-FABSOFT)</t>
  </si>
  <si>
    <t>MANUEL APON</t>
  </si>
  <si>
    <t>SERVICIOS DE CONSULTORÍA MESA DE AYUDA (HELP DESK)</t>
  </si>
  <si>
    <t>SUSCRIPCIONES, MANTENIMIENTOS Y LICENCIAS DE ADDONS PROPIOS O TERCEROS. (SOLO PRODUCTOS)</t>
  </si>
  <si>
    <t>VERONICA NORIEGA</t>
  </si>
  <si>
    <t>LICENCIAMIENTO (SAP-BYD-B1-MICROSOFT)</t>
  </si>
  <si>
    <t>SUSCRIPCIONES (LICENCIAMIENTO CLOUD)</t>
  </si>
  <si>
    <t>MANTENIMIENTO AL LICENCIAMIENTO (SAP-ADDON-B1)</t>
  </si>
  <si>
    <t>CLOUD Y HOSTING (HUAWEI, SKYONE, AZURE, AWS)</t>
  </si>
  <si>
    <t>EQUIPOS Y HARDWARE</t>
  </si>
  <si>
    <t>AWS</t>
  </si>
  <si>
    <t xml:space="preserve">AWS AMAZON MEXICO </t>
  </si>
  <si>
    <t>AWS - 2003898</t>
  </si>
  <si>
    <t>SERVICIOS</t>
  </si>
  <si>
    <t>AZURE</t>
  </si>
  <si>
    <t xml:space="preserve">BACKUPIFY INC </t>
  </si>
  <si>
    <t>BACK - 2002336</t>
  </si>
  <si>
    <t>SILVERIO CHÁVEZ</t>
  </si>
  <si>
    <t>LICENCIAS</t>
  </si>
  <si>
    <t>SKYONE</t>
  </si>
  <si>
    <t>EUR</t>
  </si>
  <si>
    <t xml:space="preserve">BOYUMIT </t>
  </si>
  <si>
    <t>BOYUM - 2100025</t>
  </si>
  <si>
    <t>SUSCRIPCIONES</t>
  </si>
  <si>
    <t>HUAWEI</t>
  </si>
  <si>
    <t>CONCUR TECHNOLOGIES INC</t>
  </si>
  <si>
    <t>CONCUR - 2100086</t>
  </si>
  <si>
    <t>ADDONS</t>
  </si>
  <si>
    <t>COPYLEAKS INC</t>
  </si>
  <si>
    <t>COPY - 2100128</t>
  </si>
  <si>
    <t>HOSTING</t>
  </si>
  <si>
    <t>MADKTING - YUJU</t>
  </si>
  <si>
    <t>MADK - 2003886</t>
  </si>
  <si>
    <t>MICROSOFT AZURE</t>
  </si>
  <si>
    <t>MICROSOFT - 2003496</t>
  </si>
  <si>
    <t>SUSCRIPCIONES NO SAP</t>
  </si>
  <si>
    <t>SAP MEXICO</t>
  </si>
  <si>
    <t>SAP - 2000004</t>
  </si>
  <si>
    <t>SKY ONE CLOUD</t>
  </si>
  <si>
    <t>SKY - 2100118</t>
  </si>
  <si>
    <t xml:space="preserve">LICENCIAS </t>
  </si>
  <si>
    <t>CCFLEX</t>
  </si>
  <si>
    <t>ON PREMISE</t>
  </si>
  <si>
    <t>CCP</t>
  </si>
  <si>
    <t>VAR</t>
  </si>
  <si>
    <t>OEM</t>
  </si>
  <si>
    <t>C&amp;S (Consideración y Selección) / A&amp;O (Adopción y operación)</t>
  </si>
  <si>
    <t>C&amp;S (Consideración y Selección)</t>
  </si>
  <si>
    <t>A&amp;O (Adopción y operación)</t>
  </si>
  <si>
    <t>DIVISIONES</t>
  </si>
  <si>
    <t>D2 CONSULTING - ERP S4 HANA</t>
  </si>
  <si>
    <t>D3 BYD</t>
  </si>
  <si>
    <t>D4 PUBLIC</t>
  </si>
  <si>
    <t>D8 HXM SFSF</t>
  </si>
  <si>
    <t>D9 CIBERSEGURIDAD</t>
  </si>
  <si>
    <t>D11 HADW &amp;SOFT</t>
  </si>
  <si>
    <t>D12 WORKPLACE</t>
  </si>
  <si>
    <t>D13 CX - COES</t>
  </si>
  <si>
    <t>D14 AWS - AZURE - CLOUD</t>
  </si>
  <si>
    <t>D15 CLOUD B1 - HOSTING</t>
  </si>
  <si>
    <t>D16 B1</t>
  </si>
  <si>
    <t>D17 ANALYTICS</t>
  </si>
  <si>
    <t>D19 PRODUCTOS Y ADDONS SEIDOR</t>
  </si>
  <si>
    <t>D20 AMS - MESA DE AYUDA S4 HANA</t>
  </si>
  <si>
    <t>D30 STAFFING S4 HANA</t>
  </si>
  <si>
    <t>D31 AMS SFSF</t>
  </si>
  <si>
    <t>D32 STAFFING SFSF</t>
  </si>
  <si>
    <t>D33 ARIBA - CONCUR</t>
  </si>
  <si>
    <t>D34 STAFFING NO SAP</t>
  </si>
  <si>
    <t>NATALIA OSSA</t>
  </si>
  <si>
    <t>ESTEFANIA MUÑOZ</t>
  </si>
  <si>
    <t>SAP</t>
  </si>
  <si>
    <t>B1</t>
  </si>
  <si>
    <t>SOL&amp;TECH</t>
  </si>
  <si>
    <t>CESAR CALLEJA</t>
  </si>
  <si>
    <t>BUSINESS EXPERIENCE</t>
  </si>
  <si>
    <t>MANTENIMIENTO PROPORCIONAL</t>
  </si>
  <si>
    <t>MANTENIMIENTO ANUAL</t>
  </si>
  <si>
    <t>FORMATO DE ALTA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</si>
</sst>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#,##0.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9"/>
      <color theme="1"/>
      <name val="Poppins"/>
    </font>
    <font>
      <b/>
      <sz val="9"/>
      <color theme="0"/>
      <name val="Poppins"/>
    </font>
    <font>
      <b/>
      <sz val="9"/>
      <color theme="1"/>
      <name val="Poppins"/>
    </font>
    <font>
      <b/>
      <sz val="10"/>
      <color theme="1"/>
      <name val="Poppins"/>
    </font>
    <font>
      <b/>
      <sz val="10"/>
      <name val="Poppins"/>
    </font>
    <font>
      <b/>
      <sz val="20"/>
      <color theme="0"/>
      <name val="Poppins"/>
    </font>
    <font>
      <sz val="9"/>
      <name val="Poppins"/>
    </font>
    <font>
      <b/>
      <sz val="9"/>
      <name val="Poppins"/>
    </font>
    <font>
      <b/>
      <i/>
      <sz val="9"/>
      <name val="Poppins"/>
    </font>
    <font>
      <b/>
      <sz val="11"/>
      <color theme="1"/>
      <name val="Poppins"/>
    </font>
    <font>
      <b/>
      <sz val="14"/>
      <color theme="0"/>
      <name val="Poppins"/>
    </font>
    <font>
      <b/>
      <sz val="10"/>
      <color theme="0"/>
      <name val="Poppins"/>
    </font>
    <font>
      <sz val="9"/>
      <color theme="0"/>
      <name val="Poppins"/>
    </font>
    <font>
      <b/>
      <sz val="14"/>
      <color theme="1"/>
      <name val="Poppins"/>
    </font>
    <font>
      <sz val="10"/>
      <color theme="1"/>
      <name val="Poppins"/>
    </font>
    <font>
      <sz val="10"/>
      <name val="Poppins"/>
    </font>
    <font>
      <b/>
      <i/>
      <sz val="10"/>
      <name val="Poppins"/>
    </font>
    <font>
      <b/>
      <sz val="20"/>
      <color theme="1"/>
      <name val="Poppins"/>
    </font>
    <font>
      <b/>
      <sz val="15"/>
      <color theme="1"/>
      <name val="Poppins"/>
    </font>
    <font>
      <sz val="11"/>
      <name val="Poppins"/>
    </font>
    <font>
      <b/>
      <sz val="36"/>
      <color theme="1"/>
      <name val="Poppins"/>
    </font>
    <font>
      <b/>
      <sz val="11"/>
      <color theme="0"/>
      <name val="Poppins"/>
    </font>
    <font>
      <sz val="11"/>
      <color theme="1"/>
      <name val="Poppins"/>
    </font>
    <font>
      <b/>
      <sz val="20"/>
      <name val="Poppins"/>
    </font>
    <font>
      <b/>
      <sz val="20"/>
      <color theme="3" tint="9.9978637043366805E-2"/>
      <name val="Poppins"/>
    </font>
    <font>
      <b/>
      <sz val="12"/>
      <color theme="0"/>
      <name val="Poppins"/>
    </font>
    <font>
      <b/>
      <sz val="11"/>
      <name val="Aptos Narrow"/>
      <family val="2"/>
      <scheme val="minor"/>
    </font>
    <font>
      <b/>
      <sz val="12"/>
      <color theme="1"/>
      <name val="Poppins"/>
    </font>
    <font>
      <sz val="10"/>
      <color rgb="FF000000"/>
      <name val="Poppins"/>
    </font>
    <font>
      <b/>
      <sz val="11"/>
      <color rgb="FF000000"/>
      <name val="Poppins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theme="1" tint="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theme="1" tint="4.9989318521683403E-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D0D0D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D0D0D"/>
      </top>
      <bottom style="thin">
        <color rgb="FF0D0D0D"/>
      </bottom>
      <diagonal/>
    </border>
    <border>
      <left/>
      <right style="thin">
        <color indexed="64"/>
      </right>
      <top style="thin">
        <color indexed="64"/>
      </top>
      <bottom style="thin">
        <color rgb="FF0D0D0D"/>
      </bottom>
      <diagonal/>
    </border>
    <border>
      <left/>
      <right style="thin">
        <color indexed="64"/>
      </right>
      <top style="thin">
        <color rgb="FF0D0D0D"/>
      </top>
      <bottom style="thin">
        <color rgb="FF0D0D0D"/>
      </bottom>
      <diagonal/>
    </border>
    <border>
      <left style="thin">
        <color indexed="64"/>
      </left>
      <right/>
      <top style="thin">
        <color rgb="FF0D0D0D"/>
      </top>
      <bottom style="thin">
        <color indexed="64"/>
      </bottom>
      <diagonal/>
    </border>
    <border>
      <left/>
      <right style="thin">
        <color indexed="64"/>
      </right>
      <top style="thin">
        <color rgb="FF0D0D0D"/>
      </top>
      <bottom style="thin">
        <color indexed="64"/>
      </bottom>
      <diagonal/>
    </border>
    <border>
      <left style="thin">
        <color rgb="FF0D0D0D"/>
      </left>
      <right/>
      <top/>
      <bottom style="thin">
        <color rgb="FF0D0D0D"/>
      </bottom>
      <diagonal/>
    </border>
    <border>
      <left style="thin">
        <color rgb="FF0D0D0D"/>
      </left>
      <right/>
      <top style="thin">
        <color rgb="FF0D0D0D"/>
      </top>
      <bottom style="thin">
        <color rgb="FF0D0D0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6">
    <xf numFmtId="0" fontId="0" fillId="0" borderId="0" xfId="0"/>
    <xf numFmtId="0" fontId="4" fillId="0" borderId="0" xfId="0" applyFont="1"/>
    <xf numFmtId="0" fontId="5" fillId="0" borderId="0" xfId="0" applyFont="1"/>
    <xf numFmtId="0" fontId="11" fillId="0" borderId="0" xfId="0" applyFont="1"/>
    <xf numFmtId="1" fontId="13" fillId="0" borderId="0" xfId="2" applyNumberFormat="1" applyFont="1" applyAlignment="1">
      <alignment horizontal="center" vertical="center"/>
    </xf>
    <xf numFmtId="43" fontId="12" fillId="0" borderId="0" xfId="7" applyFont="1" applyFill="1" applyBorder="1" applyAlignment="1">
      <alignment horizontal="center"/>
    </xf>
    <xf numFmtId="9" fontId="12" fillId="0" borderId="0" xfId="8" applyFont="1" applyFill="1" applyBorder="1" applyAlignment="1">
      <alignment horizontal="center"/>
    </xf>
    <xf numFmtId="1" fontId="14" fillId="3" borderId="0" xfId="2" applyNumberFormat="1" applyFont="1" applyFill="1" applyAlignment="1">
      <alignment horizontal="center" vertical="center"/>
    </xf>
    <xf numFmtId="43" fontId="7" fillId="3" borderId="0" xfId="7" applyFont="1" applyFill="1" applyBorder="1" applyAlignment="1">
      <alignment horizontal="center" vertical="center"/>
    </xf>
    <xf numFmtId="0" fontId="17" fillId="0" borderId="0" xfId="0" applyFont="1"/>
    <xf numFmtId="1" fontId="7" fillId="3" borderId="0" xfId="2" applyNumberFormat="1" applyFont="1" applyFill="1" applyAlignment="1">
      <alignment horizontal="center" vertical="center"/>
    </xf>
    <xf numFmtId="49" fontId="6" fillId="3" borderId="0" xfId="2" applyNumberFormat="1" applyFont="1" applyFill="1" applyAlignment="1">
      <alignment vertical="center"/>
    </xf>
    <xf numFmtId="0" fontId="19" fillId="0" borderId="0" xfId="0" applyFont="1"/>
    <xf numFmtId="0" fontId="20" fillId="0" borderId="0" xfId="0" applyFont="1"/>
    <xf numFmtId="1" fontId="21" fillId="0" borderId="0" xfId="2" applyNumberFormat="1" applyFont="1" applyAlignment="1">
      <alignment horizontal="center" vertical="center"/>
    </xf>
    <xf numFmtId="43" fontId="21" fillId="0" borderId="0" xfId="7" applyFont="1" applyFill="1" applyBorder="1" applyAlignment="1">
      <alignment horizontal="center" vertical="center"/>
    </xf>
    <xf numFmtId="43" fontId="9" fillId="0" borderId="0" xfId="7" applyFont="1" applyFill="1" applyBorder="1" applyAlignment="1">
      <alignment horizontal="center"/>
    </xf>
    <xf numFmtId="9" fontId="9" fillId="0" borderId="0" xfId="8" applyFont="1" applyFill="1" applyBorder="1" applyAlignment="1">
      <alignment horizontal="center"/>
    </xf>
    <xf numFmtId="43" fontId="9" fillId="0" borderId="20" xfId="7" applyFont="1" applyFill="1" applyBorder="1" applyAlignment="1">
      <alignment horizontal="center"/>
    </xf>
    <xf numFmtId="0" fontId="22" fillId="0" borderId="0" xfId="0" applyFont="1"/>
    <xf numFmtId="0" fontId="8" fillId="0" borderId="0" xfId="0" applyFont="1"/>
    <xf numFmtId="0" fontId="8" fillId="4" borderId="12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8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1" fontId="8" fillId="3" borderId="12" xfId="2" applyNumberFormat="1" applyFont="1" applyFill="1" applyBorder="1" applyAlignment="1">
      <alignment horizontal="center" vertical="top"/>
    </xf>
    <xf numFmtId="43" fontId="20" fillId="0" borderId="1" xfId="7" applyFont="1" applyFill="1" applyBorder="1" applyAlignment="1">
      <alignment horizontal="center" vertical="top"/>
    </xf>
    <xf numFmtId="2" fontId="14" fillId="4" borderId="2" xfId="2" applyNumberFormat="1" applyFont="1" applyFill="1" applyBorder="1" applyAlignment="1" applyProtection="1">
      <alignment horizontal="center" vertical="top"/>
      <protection locked="0"/>
    </xf>
    <xf numFmtId="0" fontId="26" fillId="0" borderId="0" xfId="0" applyFont="1" applyAlignment="1">
      <alignment vertical="center"/>
    </xf>
    <xf numFmtId="1" fontId="8" fillId="3" borderId="32" xfId="2" applyNumberFormat="1" applyFont="1" applyFill="1" applyBorder="1" applyAlignment="1">
      <alignment horizontal="center" vertical="top"/>
    </xf>
    <xf numFmtId="43" fontId="20" fillId="0" borderId="33" xfId="7" applyFont="1" applyFill="1" applyBorder="1" applyAlignment="1">
      <alignment horizontal="center" vertical="top"/>
    </xf>
    <xf numFmtId="2" fontId="14" fillId="4" borderId="11" xfId="2" applyNumberFormat="1" applyFont="1" applyFill="1" applyBorder="1" applyAlignment="1" applyProtection="1">
      <alignment horizontal="center" vertical="top"/>
      <protection locked="0"/>
    </xf>
    <xf numFmtId="0" fontId="26" fillId="2" borderId="12" xfId="0" applyFont="1" applyFill="1" applyBorder="1" applyAlignment="1">
      <alignment horizontal="center" vertical="top"/>
    </xf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5" fillId="2" borderId="12" xfId="0" applyFont="1" applyFill="1" applyBorder="1" applyAlignment="1">
      <alignment horizontal="center" vertical="top"/>
    </xf>
    <xf numFmtId="1" fontId="8" fillId="3" borderId="2" xfId="2" applyNumberFormat="1" applyFont="1" applyFill="1" applyBorder="1" applyAlignment="1">
      <alignment horizontal="center" vertical="top"/>
    </xf>
    <xf numFmtId="44" fontId="10" fillId="2" borderId="12" xfId="0" applyNumberFormat="1" applyFont="1" applyFill="1" applyBorder="1" applyAlignment="1" applyProtection="1">
      <alignment horizontal="center" vertical="top"/>
      <protection locked="0"/>
    </xf>
    <xf numFmtId="1" fontId="6" fillId="3" borderId="0" xfId="2" applyNumberFormat="1" applyFont="1" applyFill="1" applyAlignment="1">
      <alignment horizontal="center" vertical="center"/>
    </xf>
    <xf numFmtId="44" fontId="18" fillId="0" borderId="0" xfId="2" applyNumberFormat="1" applyFont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43" fontId="5" fillId="0" borderId="0" xfId="0" applyNumberFormat="1" applyFont="1"/>
    <xf numFmtId="0" fontId="15" fillId="2" borderId="12" xfId="0" applyFont="1" applyFill="1" applyBorder="1" applyAlignment="1">
      <alignment horizontal="center" wrapText="1"/>
    </xf>
    <xf numFmtId="0" fontId="15" fillId="2" borderId="12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center"/>
    </xf>
    <xf numFmtId="4" fontId="28" fillId="0" borderId="22" xfId="7" applyNumberFormat="1" applyFont="1" applyFill="1" applyBorder="1" applyAlignment="1">
      <alignment horizontal="center" vertical="top"/>
    </xf>
    <xf numFmtId="0" fontId="30" fillId="2" borderId="20" xfId="0" applyFont="1" applyFill="1" applyBorder="1"/>
    <xf numFmtId="0" fontId="31" fillId="0" borderId="0" xfId="0" applyFont="1"/>
    <xf numFmtId="0" fontId="8" fillId="0" borderId="12" xfId="0" applyFont="1" applyBorder="1" applyAlignment="1">
      <alignment horizontal="left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3" xfId="0" applyFont="1" applyBorder="1" applyAlignment="1">
      <alignment horizontal="left" wrapText="1"/>
    </xf>
    <xf numFmtId="0" fontId="8" fillId="0" borderId="24" xfId="0" applyFont="1" applyBorder="1" applyAlignment="1">
      <alignment horizontal="left"/>
    </xf>
    <xf numFmtId="0" fontId="26" fillId="2" borderId="17" xfId="0" applyFont="1" applyFill="1" applyBorder="1" applyAlignment="1">
      <alignment horizontal="center" vertical="top"/>
    </xf>
    <xf numFmtId="44" fontId="18" fillId="0" borderId="0" xfId="2" applyNumberFormat="1" applyFont="1" applyAlignment="1">
      <alignment vertical="center"/>
    </xf>
    <xf numFmtId="14" fontId="19" fillId="4" borderId="12" xfId="2" applyNumberFormat="1" applyFont="1" applyFill="1" applyBorder="1" applyAlignment="1" applyProtection="1">
      <alignment horizontal="center" vertical="top"/>
      <protection locked="0"/>
    </xf>
    <xf numFmtId="44" fontId="18" fillId="0" borderId="8" xfId="2" applyNumberFormat="1" applyFont="1" applyBorder="1" applyAlignment="1">
      <alignment vertical="center" wrapText="1"/>
    </xf>
    <xf numFmtId="0" fontId="26" fillId="0" borderId="0" xfId="0" applyFont="1" applyAlignment="1">
      <alignment horizontal="center" vertical="top"/>
    </xf>
    <xf numFmtId="0" fontId="8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34" fillId="5" borderId="46" xfId="2" applyFont="1" applyFill="1" applyBorder="1" applyAlignment="1" applyProtection="1">
      <alignment horizontal="center" vertical="top"/>
      <protection locked="0"/>
    </xf>
    <xf numFmtId="0" fontId="34" fillId="5" borderId="47" xfId="2" applyFont="1" applyFill="1" applyBorder="1" applyAlignment="1" applyProtection="1">
      <alignment horizontal="center" vertical="top"/>
      <protection locked="0"/>
    </xf>
    <xf numFmtId="0" fontId="8" fillId="4" borderId="12" xfId="2" applyFont="1" applyFill="1" applyBorder="1" applyAlignment="1" applyProtection="1">
      <alignment horizontal="center" vertical="top" wrapText="1"/>
      <protection locked="0"/>
    </xf>
    <xf numFmtId="0" fontId="8" fillId="4" borderId="12" xfId="0" applyFont="1" applyFill="1" applyBorder="1" applyAlignment="1" applyProtection="1">
      <alignment horizontal="center" vertical="center" wrapText="1"/>
      <protection locked="0"/>
    </xf>
    <xf numFmtId="14" fontId="19" fillId="4" borderId="32" xfId="2" applyNumberFormat="1" applyFont="1" applyFill="1" applyBorder="1" applyAlignment="1" applyProtection="1">
      <alignment horizontal="center" vertical="top"/>
      <protection locked="0"/>
    </xf>
    <xf numFmtId="44" fontId="19" fillId="0" borderId="12" xfId="9" applyFont="1" applyFill="1" applyBorder="1" applyAlignment="1" applyProtection="1">
      <alignment horizontal="center" vertical="top"/>
    </xf>
    <xf numFmtId="1" fontId="14" fillId="0" borderId="12" xfId="2" applyNumberFormat="1" applyFont="1" applyBorder="1" applyAlignment="1">
      <alignment horizontal="center" vertical="top"/>
    </xf>
    <xf numFmtId="0" fontId="27" fillId="4" borderId="0" xfId="0" applyFont="1" applyFill="1" applyAlignment="1" applyProtection="1">
      <alignment horizontal="left" vertical="center" wrapText="1"/>
      <protection locked="0"/>
    </xf>
    <xf numFmtId="0" fontId="26" fillId="2" borderId="6" xfId="0" applyFont="1" applyFill="1" applyBorder="1" applyAlignment="1">
      <alignment horizontal="center" vertical="top"/>
    </xf>
    <xf numFmtId="0" fontId="26" fillId="2" borderId="17" xfId="0" applyFont="1" applyFill="1" applyBorder="1" applyAlignment="1">
      <alignment horizontal="center" vertical="top"/>
    </xf>
    <xf numFmtId="0" fontId="26" fillId="2" borderId="12" xfId="0" applyFont="1" applyFill="1" applyBorder="1" applyAlignment="1">
      <alignment horizontal="center" vertical="top"/>
    </xf>
    <xf numFmtId="49" fontId="19" fillId="4" borderId="6" xfId="2" applyNumberFormat="1" applyFont="1" applyFill="1" applyBorder="1" applyAlignment="1" applyProtection="1">
      <alignment horizontal="left" vertical="top"/>
      <protection locked="0"/>
    </xf>
    <xf numFmtId="49" fontId="19" fillId="4" borderId="18" xfId="2" applyNumberFormat="1" applyFont="1" applyFill="1" applyBorder="1" applyAlignment="1" applyProtection="1">
      <alignment horizontal="left" vertical="top"/>
      <protection locked="0"/>
    </xf>
    <xf numFmtId="49" fontId="19" fillId="4" borderId="17" xfId="2" applyNumberFormat="1" applyFont="1" applyFill="1" applyBorder="1" applyAlignment="1" applyProtection="1">
      <alignment horizontal="left" vertical="top"/>
      <protection locked="0"/>
    </xf>
    <xf numFmtId="0" fontId="19" fillId="4" borderId="12" xfId="2" applyFont="1" applyFill="1" applyBorder="1" applyAlignment="1" applyProtection="1">
      <alignment horizontal="left" vertical="top" wrapText="1"/>
      <protection locked="0"/>
    </xf>
    <xf numFmtId="0" fontId="26" fillId="2" borderId="8" xfId="0" applyFont="1" applyFill="1" applyBorder="1" applyAlignment="1">
      <alignment horizontal="center" vertical="top"/>
    </xf>
    <xf numFmtId="0" fontId="26" fillId="2" borderId="13" xfId="0" applyFont="1" applyFill="1" applyBorder="1" applyAlignment="1">
      <alignment horizontal="center" vertical="top"/>
    </xf>
    <xf numFmtId="0" fontId="8" fillId="3" borderId="1" xfId="2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 vertical="center"/>
    </xf>
    <xf numFmtId="9" fontId="19" fillId="4" borderId="12" xfId="8" applyFont="1" applyFill="1" applyBorder="1" applyAlignment="1" applyProtection="1">
      <alignment horizontal="center" vertical="center" wrapText="1"/>
      <protection locked="0"/>
    </xf>
    <xf numFmtId="0" fontId="26" fillId="2" borderId="12" xfId="0" applyFont="1" applyFill="1" applyBorder="1" applyAlignment="1">
      <alignment horizontal="left" vertical="top"/>
    </xf>
    <xf numFmtId="0" fontId="26" fillId="2" borderId="18" xfId="0" applyFont="1" applyFill="1" applyBorder="1" applyAlignment="1">
      <alignment horizontal="center" vertical="top"/>
    </xf>
    <xf numFmtId="9" fontId="19" fillId="4" borderId="6" xfId="8" applyFont="1" applyFill="1" applyBorder="1" applyAlignment="1" applyProtection="1">
      <alignment horizontal="center" vertical="top" wrapText="1"/>
    </xf>
    <xf numFmtId="9" fontId="19" fillId="4" borderId="17" xfId="8" applyFont="1" applyFill="1" applyBorder="1" applyAlignment="1" applyProtection="1">
      <alignment horizontal="center" vertical="top" wrapText="1"/>
    </xf>
    <xf numFmtId="0" fontId="8" fillId="0" borderId="6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16" fillId="2" borderId="5" xfId="0" applyFont="1" applyFill="1" applyBorder="1" applyAlignment="1">
      <alignment horizontal="center" vertical="center"/>
    </xf>
    <xf numFmtId="44" fontId="19" fillId="4" borderId="6" xfId="7" applyNumberFormat="1" applyFont="1" applyFill="1" applyBorder="1" applyAlignment="1" applyProtection="1">
      <alignment horizontal="left" vertical="top" wrapText="1"/>
      <protection locked="0"/>
    </xf>
    <xf numFmtId="44" fontId="19" fillId="4" borderId="17" xfId="7" applyNumberFormat="1" applyFont="1" applyFill="1" applyBorder="1" applyAlignment="1" applyProtection="1">
      <alignment horizontal="left" vertical="top" wrapText="1"/>
      <protection locked="0"/>
    </xf>
    <xf numFmtId="0" fontId="19" fillId="4" borderId="2" xfId="0" applyFont="1" applyFill="1" applyBorder="1" applyAlignment="1" applyProtection="1">
      <alignment horizontal="left" wrapText="1"/>
      <protection locked="0"/>
    </xf>
    <xf numFmtId="0" fontId="19" fillId="4" borderId="3" xfId="0" applyFont="1" applyFill="1" applyBorder="1" applyAlignment="1" applyProtection="1">
      <alignment horizontal="left" wrapText="1"/>
      <protection locked="0"/>
    </xf>
    <xf numFmtId="0" fontId="19" fillId="4" borderId="4" xfId="0" applyFont="1" applyFill="1" applyBorder="1" applyAlignment="1" applyProtection="1">
      <alignment horizontal="left" wrapText="1"/>
      <protection locked="0"/>
    </xf>
    <xf numFmtId="43" fontId="19" fillId="4" borderId="6" xfId="7" applyFont="1" applyFill="1" applyBorder="1" applyAlignment="1" applyProtection="1">
      <alignment horizontal="center" vertical="top"/>
      <protection locked="0"/>
    </xf>
    <xf numFmtId="43" fontId="19" fillId="4" borderId="17" xfId="7" applyFont="1" applyFill="1" applyBorder="1" applyAlignment="1" applyProtection="1">
      <alignment horizontal="center" vertical="top"/>
      <protection locked="0"/>
    </xf>
    <xf numFmtId="43" fontId="33" fillId="5" borderId="6" xfId="7" applyFont="1" applyFill="1" applyBorder="1" applyAlignment="1" applyProtection="1">
      <alignment horizontal="center" vertical="top"/>
      <protection locked="0"/>
    </xf>
    <xf numFmtId="43" fontId="33" fillId="5" borderId="17" xfId="7" applyFont="1" applyFill="1" applyBorder="1" applyAlignment="1" applyProtection="1">
      <alignment horizontal="center" vertical="top"/>
      <protection locked="0"/>
    </xf>
    <xf numFmtId="43" fontId="20" fillId="4" borderId="34" xfId="7" applyFont="1" applyFill="1" applyBorder="1" applyAlignment="1" applyProtection="1">
      <alignment horizontal="center" vertical="top"/>
      <protection locked="0"/>
    </xf>
    <xf numFmtId="43" fontId="20" fillId="4" borderId="30" xfId="7" applyFont="1" applyFill="1" applyBorder="1" applyAlignment="1" applyProtection="1">
      <alignment horizontal="center" vertical="top"/>
      <protection locked="0"/>
    </xf>
    <xf numFmtId="43" fontId="20" fillId="4" borderId="35" xfId="7" applyFont="1" applyFill="1" applyBorder="1" applyAlignment="1" applyProtection="1">
      <alignment horizontal="center" vertical="top"/>
      <protection locked="0"/>
    </xf>
    <xf numFmtId="43" fontId="20" fillId="5" borderId="6" xfId="7" applyFont="1" applyFill="1" applyBorder="1" applyAlignment="1" applyProtection="1">
      <alignment horizontal="center" vertical="top"/>
      <protection locked="0"/>
    </xf>
    <xf numFmtId="43" fontId="20" fillId="5" borderId="18" xfId="7" applyFont="1" applyFill="1" applyBorder="1" applyAlignment="1" applyProtection="1">
      <alignment horizontal="center" vertical="top"/>
      <protection locked="0"/>
    </xf>
    <xf numFmtId="43" fontId="20" fillId="5" borderId="40" xfId="7" applyFont="1" applyFill="1" applyBorder="1" applyAlignment="1" applyProtection="1">
      <alignment horizontal="center" vertical="top"/>
      <protection locked="0"/>
    </xf>
    <xf numFmtId="43" fontId="20" fillId="5" borderId="27" xfId="7" applyFont="1" applyFill="1" applyBorder="1" applyAlignment="1" applyProtection="1">
      <alignment horizontal="center" vertical="top"/>
      <protection locked="0"/>
    </xf>
    <xf numFmtId="43" fontId="20" fillId="4" borderId="29" xfId="7" applyFont="1" applyFill="1" applyBorder="1" applyAlignment="1" applyProtection="1">
      <alignment horizontal="center" vertical="top"/>
      <protection locked="0"/>
    </xf>
    <xf numFmtId="0" fontId="26" fillId="2" borderId="7" xfId="0" applyFont="1" applyFill="1" applyBorder="1" applyAlignment="1">
      <alignment horizontal="center" vertical="top"/>
    </xf>
    <xf numFmtId="43" fontId="8" fillId="4" borderId="6" xfId="7" applyFont="1" applyFill="1" applyBorder="1" applyAlignment="1" applyProtection="1">
      <alignment horizontal="left" vertical="top"/>
      <protection locked="0"/>
    </xf>
    <xf numFmtId="43" fontId="8" fillId="4" borderId="18" xfId="7" applyFont="1" applyFill="1" applyBorder="1" applyAlignment="1" applyProtection="1">
      <alignment horizontal="left" vertical="top"/>
      <protection locked="0"/>
    </xf>
    <xf numFmtId="43" fontId="8" fillId="4" borderId="17" xfId="7" applyFont="1" applyFill="1" applyBorder="1" applyAlignment="1" applyProtection="1">
      <alignment horizontal="left" vertical="top"/>
      <protection locked="0"/>
    </xf>
    <xf numFmtId="0" fontId="26" fillId="2" borderId="15" xfId="0" applyFont="1" applyFill="1" applyBorder="1" applyAlignment="1">
      <alignment horizontal="left" vertical="top"/>
    </xf>
    <xf numFmtId="9" fontId="9" fillId="0" borderId="33" xfId="8" applyFont="1" applyFill="1" applyBorder="1" applyAlignment="1">
      <alignment horizontal="center" vertical="top"/>
    </xf>
    <xf numFmtId="0" fontId="25" fillId="4" borderId="22" xfId="2" applyFont="1" applyFill="1" applyBorder="1" applyAlignment="1" applyProtection="1">
      <alignment horizontal="center" vertical="center" wrapText="1"/>
      <protection locked="0"/>
    </xf>
    <xf numFmtId="0" fontId="25" fillId="4" borderId="38" xfId="2" applyFont="1" applyFill="1" applyBorder="1" applyAlignment="1" applyProtection="1">
      <alignment horizontal="center" vertical="center" wrapText="1"/>
      <protection locked="0"/>
    </xf>
    <xf numFmtId="0" fontId="25" fillId="4" borderId="32" xfId="2" applyFont="1" applyFill="1" applyBorder="1" applyAlignment="1" applyProtection="1">
      <alignment horizontal="center" vertical="center" wrapText="1"/>
      <protection locked="0"/>
    </xf>
    <xf numFmtId="0" fontId="26" fillId="2" borderId="6" xfId="0" applyFont="1" applyFill="1" applyBorder="1" applyAlignment="1">
      <alignment horizontal="center" vertical="top" wrapText="1"/>
    </xf>
    <xf numFmtId="0" fontId="26" fillId="2" borderId="17" xfId="0" applyFont="1" applyFill="1" applyBorder="1" applyAlignment="1">
      <alignment horizontal="center" vertical="top" wrapText="1"/>
    </xf>
    <xf numFmtId="14" fontId="6" fillId="3" borderId="0" xfId="2" applyNumberFormat="1" applyFont="1" applyFill="1" applyAlignment="1">
      <alignment horizontal="center" vertical="center"/>
    </xf>
    <xf numFmtId="44" fontId="18" fillId="0" borderId="8" xfId="2" applyNumberFormat="1" applyFont="1" applyBorder="1" applyAlignment="1">
      <alignment horizontal="right" vertical="center" wrapText="1"/>
    </xf>
    <xf numFmtId="9" fontId="18" fillId="0" borderId="8" xfId="8" applyFont="1" applyBorder="1" applyAlignment="1">
      <alignment horizontal="center" vertical="center" wrapText="1"/>
    </xf>
    <xf numFmtId="9" fontId="9" fillId="0" borderId="1" xfId="8" applyFont="1" applyFill="1" applyBorder="1" applyAlignment="1">
      <alignment horizontal="center"/>
    </xf>
    <xf numFmtId="9" fontId="9" fillId="0" borderId="1" xfId="8" applyFont="1" applyFill="1" applyBorder="1" applyAlignment="1">
      <alignment horizontal="center" vertical="top"/>
    </xf>
    <xf numFmtId="43" fontId="9" fillId="0" borderId="3" xfId="7" applyFont="1" applyFill="1" applyBorder="1" applyAlignment="1">
      <alignment horizontal="center"/>
    </xf>
    <xf numFmtId="43" fontId="9" fillId="0" borderId="4" xfId="7" applyFont="1" applyFill="1" applyBorder="1" applyAlignment="1">
      <alignment horizontal="center"/>
    </xf>
    <xf numFmtId="43" fontId="20" fillId="0" borderId="1" xfId="7" applyFont="1" applyFill="1" applyBorder="1" applyAlignment="1">
      <alignment horizontal="center" vertical="top"/>
    </xf>
    <xf numFmtId="43" fontId="9" fillId="0" borderId="2" xfId="7" applyFont="1" applyFill="1" applyBorder="1" applyAlignment="1">
      <alignment horizontal="center"/>
    </xf>
    <xf numFmtId="43" fontId="9" fillId="0" borderId="21" xfId="7" applyFont="1" applyFill="1" applyBorder="1" applyAlignment="1">
      <alignment horizontal="center"/>
    </xf>
    <xf numFmtId="43" fontId="9" fillId="0" borderId="19" xfId="7" applyFont="1" applyFill="1" applyBorder="1" applyAlignment="1">
      <alignment horizontal="center"/>
    </xf>
    <xf numFmtId="43" fontId="9" fillId="0" borderId="6" xfId="7" applyFont="1" applyFill="1" applyBorder="1" applyAlignment="1">
      <alignment horizontal="center"/>
    </xf>
    <xf numFmtId="43" fontId="9" fillId="0" borderId="18" xfId="7" applyFont="1" applyFill="1" applyBorder="1" applyAlignment="1">
      <alignment horizontal="center"/>
    </xf>
    <xf numFmtId="43" fontId="9" fillId="0" borderId="17" xfId="7" applyFont="1" applyFill="1" applyBorder="1" applyAlignment="1">
      <alignment horizontal="center"/>
    </xf>
    <xf numFmtId="165" fontId="8" fillId="4" borderId="12" xfId="9" applyNumberFormat="1" applyFont="1" applyFill="1" applyBorder="1" applyAlignment="1" applyProtection="1">
      <alignment horizontal="center" vertical="center" wrapText="1"/>
    </xf>
    <xf numFmtId="0" fontId="8" fillId="3" borderId="2" xfId="2" applyFont="1" applyFill="1" applyBorder="1" applyAlignment="1">
      <alignment horizontal="left"/>
    </xf>
    <xf numFmtId="0" fontId="8" fillId="3" borderId="3" xfId="2" applyFont="1" applyFill="1" applyBorder="1" applyAlignment="1">
      <alignment horizontal="left"/>
    </xf>
    <xf numFmtId="0" fontId="8" fillId="3" borderId="21" xfId="2" applyFont="1" applyFill="1" applyBorder="1" applyAlignment="1">
      <alignment horizontal="left"/>
    </xf>
    <xf numFmtId="44" fontId="33" fillId="5" borderId="39" xfId="7" applyNumberFormat="1" applyFont="1" applyFill="1" applyBorder="1" applyAlignment="1" applyProtection="1">
      <alignment horizontal="left" vertical="top" wrapText="1"/>
      <protection locked="0"/>
    </xf>
    <xf numFmtId="44" fontId="33" fillId="5" borderId="42" xfId="7" applyNumberFormat="1" applyFont="1" applyFill="1" applyBorder="1" applyAlignment="1" applyProtection="1">
      <alignment horizontal="left" vertical="top" wrapText="1"/>
      <protection locked="0"/>
    </xf>
    <xf numFmtId="44" fontId="33" fillId="5" borderId="41" xfId="7" applyNumberFormat="1" applyFont="1" applyFill="1" applyBorder="1" applyAlignment="1" applyProtection="1">
      <alignment horizontal="left" vertical="top" wrapText="1"/>
      <protection locked="0"/>
    </xf>
    <xf numFmtId="44" fontId="33" fillId="5" borderId="43" xfId="7" applyNumberFormat="1" applyFont="1" applyFill="1" applyBorder="1" applyAlignment="1" applyProtection="1">
      <alignment horizontal="left" vertical="top" wrapText="1"/>
      <protection locked="0"/>
    </xf>
    <xf numFmtId="44" fontId="33" fillId="5" borderId="44" xfId="7" applyNumberFormat="1" applyFont="1" applyFill="1" applyBorder="1" applyAlignment="1" applyProtection="1">
      <alignment horizontal="left" vertical="top" wrapText="1"/>
      <protection locked="0"/>
    </xf>
    <xf numFmtId="44" fontId="33" fillId="5" borderId="45" xfId="7" applyNumberFormat="1" applyFont="1" applyFill="1" applyBorder="1" applyAlignment="1" applyProtection="1">
      <alignment horizontal="left" vertical="top" wrapText="1"/>
      <protection locked="0"/>
    </xf>
    <xf numFmtId="1" fontId="6" fillId="3" borderId="0" xfId="2" applyNumberFormat="1" applyFont="1" applyFill="1" applyAlignment="1">
      <alignment horizontal="center" vertical="center"/>
    </xf>
    <xf numFmtId="1" fontId="7" fillId="3" borderId="0" xfId="2" applyNumberFormat="1" applyFont="1" applyFill="1" applyAlignment="1">
      <alignment horizontal="center" vertical="center" wrapText="1"/>
    </xf>
    <xf numFmtId="0" fontId="19" fillId="4" borderId="12" xfId="2" applyFont="1" applyFill="1" applyBorder="1" applyAlignment="1" applyProtection="1">
      <alignment horizontal="center" vertical="center" wrapText="1"/>
      <protection locked="0"/>
    </xf>
    <xf numFmtId="1" fontId="8" fillId="3" borderId="2" xfId="2" applyNumberFormat="1" applyFont="1" applyFill="1" applyBorder="1" applyAlignment="1">
      <alignment horizontal="left" vertical="center"/>
    </xf>
    <xf numFmtId="1" fontId="8" fillId="3" borderId="3" xfId="2" applyNumberFormat="1" applyFont="1" applyFill="1" applyBorder="1" applyAlignment="1">
      <alignment horizontal="left" vertical="center"/>
    </xf>
    <xf numFmtId="44" fontId="10" fillId="2" borderId="6" xfId="0" applyNumberFormat="1" applyFont="1" applyFill="1" applyBorder="1" applyAlignment="1">
      <alignment horizontal="center" vertical="top"/>
    </xf>
    <xf numFmtId="44" fontId="10" fillId="2" borderId="18" xfId="0" applyNumberFormat="1" applyFont="1" applyFill="1" applyBorder="1" applyAlignment="1">
      <alignment horizontal="center" vertical="top"/>
    </xf>
    <xf numFmtId="44" fontId="10" fillId="2" borderId="17" xfId="0" applyNumberFormat="1" applyFont="1" applyFill="1" applyBorder="1" applyAlignment="1">
      <alignment horizontal="center" vertical="top"/>
    </xf>
    <xf numFmtId="0" fontId="32" fillId="4" borderId="27" xfId="0" applyFont="1" applyFill="1" applyBorder="1" applyAlignment="1" applyProtection="1">
      <alignment horizontal="left" wrapText="1"/>
      <protection locked="0"/>
    </xf>
    <xf numFmtId="0" fontId="32" fillId="4" borderId="18" xfId="0" applyFont="1" applyFill="1" applyBorder="1" applyAlignment="1" applyProtection="1">
      <alignment horizontal="left" wrapText="1"/>
      <protection locked="0"/>
    </xf>
    <xf numFmtId="0" fontId="32" fillId="4" borderId="17" xfId="0" applyFont="1" applyFill="1" applyBorder="1" applyAlignment="1" applyProtection="1">
      <alignment horizontal="left" wrapText="1"/>
      <protection locked="0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2" borderId="6" xfId="0" applyFont="1" applyFill="1" applyBorder="1" applyAlignment="1">
      <alignment horizontal="center" vertical="top"/>
    </xf>
    <xf numFmtId="0" fontId="15" fillId="2" borderId="18" xfId="0" applyFont="1" applyFill="1" applyBorder="1" applyAlignment="1">
      <alignment horizontal="center" vertical="top"/>
    </xf>
    <xf numFmtId="0" fontId="15" fillId="2" borderId="17" xfId="0" applyFont="1" applyFill="1" applyBorder="1" applyAlignment="1">
      <alignment horizontal="center" vertical="top"/>
    </xf>
    <xf numFmtId="0" fontId="22" fillId="4" borderId="48" xfId="0" applyFont="1" applyFill="1" applyBorder="1" applyAlignment="1" applyProtection="1">
      <alignment horizontal="center" wrapText="1"/>
      <protection locked="0"/>
    </xf>
    <xf numFmtId="0" fontId="22" fillId="4" borderId="49" xfId="0" applyFont="1" applyFill="1" applyBorder="1" applyAlignment="1" applyProtection="1">
      <alignment horizontal="center" wrapText="1"/>
      <protection locked="0"/>
    </xf>
    <xf numFmtId="0" fontId="22" fillId="4" borderId="50" xfId="0" applyFont="1" applyFill="1" applyBorder="1" applyAlignment="1" applyProtection="1">
      <alignment horizontal="center" wrapText="1"/>
      <protection locked="0"/>
    </xf>
    <xf numFmtId="0" fontId="19" fillId="4" borderId="27" xfId="0" applyFont="1" applyFill="1" applyBorder="1" applyAlignment="1" applyProtection="1">
      <alignment horizontal="center"/>
      <protection locked="0"/>
    </xf>
    <xf numFmtId="0" fontId="19" fillId="4" borderId="18" xfId="0" applyFont="1" applyFill="1" applyBorder="1" applyAlignment="1" applyProtection="1">
      <alignment horizontal="center"/>
      <protection locked="0"/>
    </xf>
    <xf numFmtId="0" fontId="19" fillId="4" borderId="17" xfId="0" applyFont="1" applyFill="1" applyBorder="1" applyAlignment="1" applyProtection="1">
      <alignment horizontal="center"/>
      <protection locked="0"/>
    </xf>
    <xf numFmtId="0" fontId="19" fillId="4" borderId="1" xfId="0" applyFont="1" applyFill="1" applyBorder="1" applyProtection="1">
      <protection locked="0"/>
    </xf>
    <xf numFmtId="0" fontId="16" fillId="2" borderId="0" xfId="0" applyFont="1" applyFill="1" applyAlignment="1">
      <alignment horizont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9" fillId="4" borderId="1" xfId="0" applyFont="1" applyFill="1" applyBorder="1" applyAlignment="1" applyProtection="1">
      <alignment horizontal="left"/>
      <protection locked="0"/>
    </xf>
    <xf numFmtId="0" fontId="19" fillId="4" borderId="28" xfId="0" applyFont="1" applyFill="1" applyBorder="1" applyAlignment="1" applyProtection="1">
      <alignment horizontal="center"/>
      <protection locked="0"/>
    </xf>
    <xf numFmtId="0" fontId="19" fillId="4" borderId="25" xfId="0" applyFont="1" applyFill="1" applyBorder="1" applyAlignment="1" applyProtection="1">
      <alignment horizontal="center"/>
      <protection locked="0"/>
    </xf>
    <xf numFmtId="0" fontId="19" fillId="4" borderId="26" xfId="0" applyFont="1" applyFill="1" applyBorder="1" applyAlignment="1" applyProtection="1">
      <alignment horizontal="center"/>
      <protection locked="0"/>
    </xf>
    <xf numFmtId="2" fontId="19" fillId="4" borderId="29" xfId="0" quotePrefix="1" applyNumberFormat="1" applyFont="1" applyFill="1" applyBorder="1" applyAlignment="1" applyProtection="1">
      <alignment horizontal="center"/>
      <protection locked="0"/>
    </xf>
    <xf numFmtId="2" fontId="19" fillId="4" borderId="30" xfId="0" applyNumberFormat="1" applyFont="1" applyFill="1" applyBorder="1" applyAlignment="1" applyProtection="1">
      <alignment horizontal="center"/>
      <protection locked="0"/>
    </xf>
    <xf numFmtId="2" fontId="19" fillId="4" borderId="31" xfId="0" applyNumberFormat="1" applyFont="1" applyFill="1" applyBorder="1" applyAlignment="1" applyProtection="1">
      <alignment horizontal="center"/>
      <protection locked="0"/>
    </xf>
    <xf numFmtId="0" fontId="9" fillId="0" borderId="12" xfId="0" applyFont="1" applyBorder="1" applyAlignment="1">
      <alignment horizontal="center" vertical="center"/>
    </xf>
    <xf numFmtId="14" fontId="23" fillId="0" borderId="0" xfId="0" applyNumberFormat="1" applyFont="1" applyAlignment="1">
      <alignment horizontal="right"/>
    </xf>
    <xf numFmtId="43" fontId="20" fillId="0" borderId="33" xfId="7" applyFont="1" applyFill="1" applyBorder="1" applyAlignment="1">
      <alignment horizontal="center" vertical="top"/>
    </xf>
    <xf numFmtId="0" fontId="15" fillId="2" borderId="12" xfId="0" applyFont="1" applyFill="1" applyBorder="1" applyAlignment="1">
      <alignment horizontal="center" vertical="top"/>
    </xf>
    <xf numFmtId="4" fontId="28" fillId="0" borderId="12" xfId="0" applyNumberFormat="1" applyFont="1" applyBorder="1" applyAlignment="1">
      <alignment horizontal="center" vertical="center"/>
    </xf>
    <xf numFmtId="43" fontId="20" fillId="0" borderId="29" xfId="7" applyFont="1" applyFill="1" applyBorder="1" applyAlignment="1">
      <alignment horizontal="center" vertical="top"/>
    </xf>
    <xf numFmtId="43" fontId="20" fillId="0" borderId="30" xfId="7" applyFont="1" applyFill="1" applyBorder="1" applyAlignment="1">
      <alignment horizontal="center" vertical="top"/>
    </xf>
    <xf numFmtId="43" fontId="20" fillId="0" borderId="35" xfId="7" applyFont="1" applyFill="1" applyBorder="1" applyAlignment="1">
      <alignment horizontal="center" vertical="top"/>
    </xf>
    <xf numFmtId="0" fontId="16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2" borderId="6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left"/>
      <protection locked="0"/>
    </xf>
    <xf numFmtId="0" fontId="19" fillId="4" borderId="1" xfId="0" quotePrefix="1" applyFont="1" applyFill="1" applyBorder="1" applyAlignment="1" applyProtection="1">
      <alignment horizontal="left"/>
      <protection locked="0"/>
    </xf>
    <xf numFmtId="0" fontId="19" fillId="4" borderId="2" xfId="0" applyFont="1" applyFill="1" applyBorder="1" applyAlignment="1" applyProtection="1">
      <alignment horizontal="left"/>
      <protection locked="0"/>
    </xf>
    <xf numFmtId="0" fontId="19" fillId="4" borderId="4" xfId="0" applyFont="1" applyFill="1" applyBorder="1" applyAlignment="1" applyProtection="1">
      <alignment horizontal="left"/>
      <protection locked="0"/>
    </xf>
    <xf numFmtId="0" fontId="8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4" borderId="3" xfId="0" applyFont="1" applyFill="1" applyBorder="1" applyAlignment="1" applyProtection="1">
      <alignment horizontal="left"/>
      <protection locked="0"/>
    </xf>
    <xf numFmtId="0" fontId="19" fillId="4" borderId="2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left"/>
    </xf>
    <xf numFmtId="0" fontId="19" fillId="4" borderId="4" xfId="0" applyFont="1" applyFill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5" fillId="2" borderId="12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 vertical="center"/>
    </xf>
    <xf numFmtId="4" fontId="28" fillId="0" borderId="7" xfId="7" applyNumberFormat="1" applyFont="1" applyFill="1" applyBorder="1" applyAlignment="1">
      <alignment horizontal="center" vertical="top"/>
    </xf>
    <xf numFmtId="4" fontId="28" fillId="0" borderId="8" xfId="7" applyNumberFormat="1" applyFont="1" applyFill="1" applyBorder="1" applyAlignment="1">
      <alignment horizontal="center" vertical="top"/>
    </xf>
    <xf numFmtId="4" fontId="28" fillId="0" borderId="13" xfId="7" applyNumberFormat="1" applyFont="1" applyFill="1" applyBorder="1" applyAlignment="1">
      <alignment horizontal="center" vertical="top"/>
    </xf>
    <xf numFmtId="9" fontId="29" fillId="0" borderId="7" xfId="8" applyFont="1" applyFill="1" applyBorder="1" applyAlignment="1">
      <alignment horizontal="center" vertical="center"/>
    </xf>
    <xf numFmtId="9" fontId="29" fillId="0" borderId="8" xfId="8" applyFont="1" applyFill="1" applyBorder="1" applyAlignment="1">
      <alignment horizontal="center" vertical="center"/>
    </xf>
    <xf numFmtId="9" fontId="29" fillId="0" borderId="13" xfId="8" applyFont="1" applyFill="1" applyBorder="1" applyAlignment="1">
      <alignment horizontal="center" vertical="center"/>
    </xf>
    <xf numFmtId="9" fontId="29" fillId="0" borderId="14" xfId="8" applyFont="1" applyFill="1" applyBorder="1" applyAlignment="1">
      <alignment horizontal="center" vertical="center"/>
    </xf>
    <xf numFmtId="9" fontId="29" fillId="0" borderId="15" xfId="8" applyFont="1" applyFill="1" applyBorder="1" applyAlignment="1">
      <alignment horizontal="center" vertical="center"/>
    </xf>
    <xf numFmtId="9" fontId="29" fillId="0" borderId="16" xfId="8" applyFont="1" applyFill="1" applyBorder="1" applyAlignment="1">
      <alignment horizontal="center" vertical="center"/>
    </xf>
    <xf numFmtId="44" fontId="19" fillId="4" borderId="34" xfId="9" applyFont="1" applyFill="1" applyBorder="1" applyAlignment="1" applyProtection="1">
      <alignment horizontal="center" vertical="top"/>
      <protection locked="0"/>
    </xf>
    <xf numFmtId="44" fontId="19" fillId="4" borderId="30" xfId="9" applyFont="1" applyFill="1" applyBorder="1" applyAlignment="1" applyProtection="1">
      <alignment horizontal="center" vertical="top"/>
      <protection locked="0"/>
    </xf>
    <xf numFmtId="44" fontId="19" fillId="4" borderId="31" xfId="9" applyFont="1" applyFill="1" applyBorder="1" applyAlignment="1" applyProtection="1">
      <alignment horizontal="center" vertical="top"/>
      <protection locked="0"/>
    </xf>
    <xf numFmtId="0" fontId="19" fillId="4" borderId="12" xfId="2" applyFont="1" applyFill="1" applyBorder="1" applyAlignment="1" applyProtection="1">
      <alignment horizontal="left" vertical="top"/>
      <protection locked="0"/>
    </xf>
    <xf numFmtId="0" fontId="19" fillId="4" borderId="6" xfId="2" applyFont="1" applyFill="1" applyBorder="1" applyAlignment="1" applyProtection="1">
      <alignment horizontal="center" vertical="top"/>
      <protection locked="0"/>
    </xf>
    <xf numFmtId="0" fontId="19" fillId="4" borderId="18" xfId="2" applyFont="1" applyFill="1" applyBorder="1" applyAlignment="1" applyProtection="1">
      <alignment horizontal="center" vertical="top"/>
      <protection locked="0"/>
    </xf>
    <xf numFmtId="0" fontId="19" fillId="4" borderId="17" xfId="2" applyFont="1" applyFill="1" applyBorder="1" applyAlignment="1" applyProtection="1">
      <alignment horizontal="center" vertical="top"/>
      <protection locked="0"/>
    </xf>
    <xf numFmtId="44" fontId="18" fillId="0" borderId="9" xfId="2" applyNumberFormat="1" applyFont="1" applyBorder="1" applyAlignment="1">
      <alignment horizontal="center" vertical="center"/>
    </xf>
    <xf numFmtId="0" fontId="25" fillId="4" borderId="7" xfId="2" applyFont="1" applyFill="1" applyBorder="1" applyAlignment="1" applyProtection="1">
      <alignment horizontal="center" vertical="center"/>
      <protection locked="0"/>
    </xf>
    <xf numFmtId="0" fontId="25" fillId="4" borderId="8" xfId="2" applyFont="1" applyFill="1" applyBorder="1" applyAlignment="1" applyProtection="1">
      <alignment horizontal="center" vertical="center"/>
      <protection locked="0"/>
    </xf>
    <xf numFmtId="0" fontId="25" fillId="4" borderId="13" xfId="2" applyFont="1" applyFill="1" applyBorder="1" applyAlignment="1" applyProtection="1">
      <alignment horizontal="center" vertical="center"/>
      <protection locked="0"/>
    </xf>
    <xf numFmtId="0" fontId="25" fillId="4" borderId="36" xfId="2" applyFont="1" applyFill="1" applyBorder="1" applyAlignment="1" applyProtection="1">
      <alignment horizontal="center" vertical="center"/>
      <protection locked="0"/>
    </xf>
    <xf numFmtId="0" fontId="25" fillId="4" borderId="0" xfId="2" applyFont="1" applyFill="1" applyAlignment="1" applyProtection="1">
      <alignment horizontal="center" vertical="center"/>
      <protection locked="0"/>
    </xf>
    <xf numFmtId="0" fontId="25" fillId="4" borderId="37" xfId="2" applyFont="1" applyFill="1" applyBorder="1" applyAlignment="1" applyProtection="1">
      <alignment horizontal="center" vertical="center"/>
      <protection locked="0"/>
    </xf>
    <xf numFmtId="0" fontId="25" fillId="4" borderId="14" xfId="2" applyFont="1" applyFill="1" applyBorder="1" applyAlignment="1" applyProtection="1">
      <alignment horizontal="center" vertical="center"/>
      <protection locked="0"/>
    </xf>
    <xf numFmtId="0" fontId="25" fillId="4" borderId="15" xfId="2" applyFont="1" applyFill="1" applyBorder="1" applyAlignment="1" applyProtection="1">
      <alignment horizontal="center" vertical="center"/>
      <protection locked="0"/>
    </xf>
    <xf numFmtId="0" fontId="25" fillId="4" borderId="16" xfId="2" applyFont="1" applyFill="1" applyBorder="1" applyAlignment="1" applyProtection="1">
      <alignment horizontal="center" vertical="center"/>
      <protection locked="0"/>
    </xf>
    <xf numFmtId="1" fontId="7" fillId="3" borderId="0" xfId="2" applyNumberFormat="1" applyFont="1" applyFill="1" applyAlignment="1">
      <alignment horizontal="center" vertical="center"/>
    </xf>
    <xf numFmtId="14" fontId="6" fillId="3" borderId="8" xfId="2" applyNumberFormat="1" applyFont="1" applyFill="1" applyBorder="1" applyAlignment="1">
      <alignment horizontal="center" vertical="center"/>
    </xf>
    <xf numFmtId="44" fontId="19" fillId="4" borderId="6" xfId="9" applyFont="1" applyFill="1" applyBorder="1" applyAlignment="1" applyProtection="1">
      <alignment horizontal="center" vertical="top"/>
      <protection locked="0"/>
    </xf>
    <xf numFmtId="44" fontId="19" fillId="4" borderId="18" xfId="9" applyFont="1" applyFill="1" applyBorder="1" applyAlignment="1" applyProtection="1">
      <alignment horizontal="center" vertical="top"/>
      <protection locked="0"/>
    </xf>
    <xf numFmtId="44" fontId="19" fillId="4" borderId="17" xfId="9" applyFont="1" applyFill="1" applyBorder="1" applyAlignment="1" applyProtection="1">
      <alignment horizontal="center" vertical="top"/>
      <protection locked="0"/>
    </xf>
    <xf numFmtId="0" fontId="30" fillId="2" borderId="15" xfId="0" applyFont="1" applyFill="1" applyBorder="1" applyAlignment="1">
      <alignment horizontal="center" vertical="top"/>
    </xf>
    <xf numFmtId="0" fontId="19" fillId="4" borderId="6" xfId="0" applyFont="1" applyFill="1" applyBorder="1" applyAlignment="1" applyProtection="1">
      <alignment horizontal="center"/>
      <protection locked="0"/>
    </xf>
    <xf numFmtId="44" fontId="30" fillId="2" borderId="15" xfId="9" applyFont="1" applyFill="1" applyBorder="1" applyAlignment="1" applyProtection="1">
      <alignment horizontal="center" vertical="top"/>
    </xf>
    <xf numFmtId="0" fontId="26" fillId="2" borderId="15" xfId="0" applyFont="1" applyFill="1" applyBorder="1" applyAlignment="1">
      <alignment horizontal="center" vertical="top"/>
    </xf>
    <xf numFmtId="0" fontId="14" fillId="0" borderId="0" xfId="0" applyFont="1" applyAlignment="1">
      <alignment horizontal="left" vertical="center"/>
    </xf>
    <xf numFmtId="43" fontId="8" fillId="3" borderId="6" xfId="7" applyFont="1" applyFill="1" applyBorder="1" applyAlignment="1">
      <alignment horizontal="center" vertical="center"/>
    </xf>
    <xf numFmtId="43" fontId="8" fillId="3" borderId="17" xfId="7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2" fillId="6" borderId="27" xfId="0" applyFont="1" applyFill="1" applyBorder="1" applyAlignment="1" applyProtection="1">
      <alignment horizontal="left" wrapText="1"/>
      <protection locked="0"/>
    </xf>
    <xf numFmtId="0" fontId="32" fillId="6" borderId="18" xfId="0" applyFont="1" applyFill="1" applyBorder="1" applyAlignment="1" applyProtection="1">
      <alignment horizontal="left" wrapText="1"/>
      <protection locked="0"/>
    </xf>
    <xf numFmtId="0" fontId="32" fillId="6" borderId="17" xfId="0" applyFont="1" applyFill="1" applyBorder="1" applyAlignment="1" applyProtection="1">
      <alignment horizontal="left" wrapText="1"/>
      <protection locked="0"/>
    </xf>
    <xf numFmtId="14" fontId="19" fillId="6" borderId="28" xfId="0" applyNumberFormat="1" applyFont="1" applyFill="1" applyBorder="1" applyAlignment="1" applyProtection="1">
      <alignment horizontal="center"/>
      <protection locked="0"/>
    </xf>
    <xf numFmtId="14" fontId="19" fillId="6" borderId="25" xfId="0" applyNumberFormat="1" applyFont="1" applyFill="1" applyBorder="1" applyAlignment="1" applyProtection="1">
      <alignment horizontal="center"/>
      <protection locked="0"/>
    </xf>
    <xf numFmtId="14" fontId="19" fillId="6" borderId="26" xfId="0" applyNumberFormat="1" applyFont="1" applyFill="1" applyBorder="1" applyAlignment="1" applyProtection="1">
      <alignment horizontal="center"/>
      <protection locked="0"/>
    </xf>
    <xf numFmtId="14" fontId="19" fillId="6" borderId="27" xfId="0" applyNumberFormat="1" applyFont="1" applyFill="1" applyBorder="1" applyAlignment="1" applyProtection="1">
      <alignment horizontal="center"/>
      <protection locked="0"/>
    </xf>
    <xf numFmtId="14" fontId="19" fillId="6" borderId="18" xfId="0" applyNumberFormat="1" applyFont="1" applyFill="1" applyBorder="1" applyAlignment="1" applyProtection="1">
      <alignment horizontal="center"/>
      <protection locked="0"/>
    </xf>
    <xf numFmtId="14" fontId="19" fillId="6" borderId="17" xfId="0" applyNumberFormat="1" applyFont="1" applyFill="1" applyBorder="1" applyAlignment="1" applyProtection="1">
      <alignment horizontal="center"/>
      <protection locked="0"/>
    </xf>
    <xf numFmtId="0" fontId="19" fillId="6" borderId="12" xfId="0" applyFont="1" applyFill="1" applyBorder="1" applyAlignment="1" applyProtection="1">
      <alignment horizontal="left" vertical="center" wrapText="1"/>
      <protection locked="0"/>
    </xf>
    <xf numFmtId="0" fontId="19" fillId="6" borderId="1" xfId="0" applyFont="1" applyFill="1" applyBorder="1" applyAlignment="1" applyProtection="1">
      <alignment horizontal="left" vertical="center"/>
      <protection locked="0"/>
    </xf>
    <xf numFmtId="0" fontId="19" fillId="6" borderId="10" xfId="0" applyFont="1" applyFill="1" applyBorder="1" applyAlignment="1" applyProtection="1">
      <alignment horizontal="left" vertical="center"/>
      <protection locked="0"/>
    </xf>
    <xf numFmtId="0" fontId="19" fillId="6" borderId="12" xfId="2" applyFont="1" applyFill="1" applyBorder="1" applyAlignment="1" applyProtection="1">
      <alignment horizontal="left" vertical="top" wrapText="1"/>
      <protection locked="0"/>
    </xf>
    <xf numFmtId="0" fontId="19" fillId="6" borderId="12" xfId="2" applyFont="1" applyFill="1" applyBorder="1" applyAlignment="1" applyProtection="1">
      <alignment horizontal="left" vertical="top" wrapText="1"/>
      <protection locked="0"/>
    </xf>
    <xf numFmtId="0" fontId="19" fillId="6" borderId="17" xfId="2" applyFont="1" applyFill="1" applyBorder="1" applyAlignment="1" applyProtection="1">
      <alignment horizontal="center" vertical="top"/>
      <protection locked="0"/>
    </xf>
    <xf numFmtId="14" fontId="19" fillId="6" borderId="6" xfId="2" applyNumberFormat="1" applyFont="1" applyFill="1" applyBorder="1" applyAlignment="1" applyProtection="1">
      <alignment horizontal="left" vertical="top"/>
      <protection locked="0"/>
    </xf>
    <xf numFmtId="14" fontId="19" fillId="6" borderId="17" xfId="2" applyNumberFormat="1" applyFont="1" applyFill="1" applyBorder="1" applyAlignment="1" applyProtection="1">
      <alignment horizontal="left" vertical="top"/>
      <protection locked="0"/>
    </xf>
  </cellXfs>
  <cellStyles count="14">
    <cellStyle name="Millares" xfId="7" builtinId="3"/>
    <cellStyle name="Millares 2" xfId="1" xr:uid="{B02F1A0E-0A12-40AF-ADEE-66E5C7C9EB34}"/>
    <cellStyle name="Millares 2 2" xfId="10" xr:uid="{CBEF5FF8-D15B-412A-AF11-4D750C94C9B5}"/>
    <cellStyle name="Millares 3" xfId="12" xr:uid="{896A8CA7-295F-43FB-8D61-14D519D4110D}"/>
    <cellStyle name="Moneda" xfId="9" builtinId="4"/>
    <cellStyle name="Moneda 2" xfId="3" xr:uid="{62B73C6C-E98A-465C-A9E8-154E3922B101}"/>
    <cellStyle name="Moneda 2 2" xfId="11" xr:uid="{711673A4-E923-4FB7-A907-32EBA1DCF62E}"/>
    <cellStyle name="Moneda 3" xfId="6" xr:uid="{AEFDEF32-332A-47FC-BD32-B0096F4E2EF7}"/>
    <cellStyle name="Moneda 4" xfId="13" xr:uid="{55ECDF0E-2A8E-4AD5-9094-76FA9FE7F7CA}"/>
    <cellStyle name="Normal" xfId="0" builtinId="0"/>
    <cellStyle name="Normal 2" xfId="2" xr:uid="{359CE290-6D62-4387-B54E-B52139F2A0F8}"/>
    <cellStyle name="Normal 3" xfId="5" xr:uid="{A3105131-024E-4C69-A6D2-07D716EAB8AF}"/>
    <cellStyle name="Porcentaje" xfId="8" builtinId="5"/>
    <cellStyle name="Porcentaje 2" xfId="4" xr:uid="{8883309E-2C44-41C4-B4DB-36A965D10A3A}"/>
  </cellStyles>
  <dxfs count="2">
    <dxf>
      <font>
        <strike val="0"/>
      </font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8758</xdr:colOff>
      <xdr:row>0</xdr:row>
      <xdr:rowOff>9525</xdr:rowOff>
    </xdr:from>
    <xdr:to>
      <xdr:col>2</xdr:col>
      <xdr:colOff>1894113</xdr:colOff>
      <xdr:row>2</xdr:row>
      <xdr:rowOff>283327</xdr:rowOff>
    </xdr:to>
    <xdr:pic>
      <xdr:nvPicPr>
        <xdr:cNvPr id="2" name="Imagen 1" descr="Un conjunto de letras blancas en un fondo blanco&#10;&#10;Descripción generada automáticamente con confianza baja">
          <a:extLst>
            <a:ext uri="{FF2B5EF4-FFF2-40B4-BE49-F238E27FC236}">
              <a16:creationId xmlns:a16="http://schemas.microsoft.com/office/drawing/2014/main" id="{78E7868A-57C2-9EA2-DAE2-D09370A3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644" y="9525"/>
          <a:ext cx="1885355" cy="9704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B766-4CB5-45AB-A1BB-219F50A40A21}">
  <sheetPr codeName="Hoja1">
    <pageSetUpPr fitToPage="1"/>
  </sheetPr>
  <dimension ref="A1:AF96"/>
  <sheetViews>
    <sheetView showGridLines="0" showRowColHeaders="0" tabSelected="1" zoomScale="70" zoomScaleNormal="70" workbookViewId="0">
      <selection activeCell="J84" sqref="J84"/>
    </sheetView>
  </sheetViews>
  <sheetFormatPr baseColWidth="10" defaultColWidth="11.5546875" defaultRowHeight="17.399999999999999" x14ac:dyDescent="0.6"/>
  <cols>
    <col min="1" max="1" width="11" style="2" customWidth="1"/>
    <col min="2" max="2" width="5.77734375" style="2" customWidth="1"/>
    <col min="3" max="3" width="33.21875" style="2" customWidth="1"/>
    <col min="4" max="4" width="9.21875" style="2" customWidth="1"/>
    <col min="5" max="5" width="11" style="2" customWidth="1"/>
    <col min="6" max="6" width="8.5546875" style="2" customWidth="1"/>
    <col min="7" max="7" width="7.77734375" style="2" customWidth="1"/>
    <col min="8" max="8" width="18.77734375" style="2" customWidth="1"/>
    <col min="9" max="9" width="13.77734375" style="3" customWidth="1"/>
    <col min="10" max="10" width="32.5546875" style="3" customWidth="1"/>
    <col min="11" max="11" width="7.5546875" style="3" customWidth="1"/>
    <col min="12" max="12" width="20.77734375" style="3" customWidth="1"/>
    <col min="13" max="13" width="10" style="3" customWidth="1"/>
    <col min="14" max="14" width="8.77734375" style="3" customWidth="1"/>
    <col min="15" max="15" width="7.5546875" style="3" customWidth="1"/>
    <col min="16" max="16" width="12.21875" style="3" customWidth="1"/>
    <col min="17" max="17" width="31.77734375" style="3" customWidth="1"/>
    <col min="18" max="18" width="17.21875" style="3" customWidth="1"/>
    <col min="19" max="21" width="2.5546875" style="3" customWidth="1"/>
    <col min="22" max="22" width="5.21875" style="3" customWidth="1"/>
    <col min="23" max="23" width="3.21875" style="3" customWidth="1"/>
    <col min="24" max="24" width="5.5546875" style="3" customWidth="1"/>
    <col min="25" max="25" width="9.21875" style="3" customWidth="1"/>
    <col min="26" max="26" width="8.44140625" style="3" customWidth="1"/>
    <col min="27" max="27" width="4.5546875" style="3" customWidth="1"/>
    <col min="28" max="29" width="9.77734375" style="3" customWidth="1"/>
    <col min="30" max="30" width="12.77734375" style="3" customWidth="1"/>
    <col min="31" max="31" width="13.77734375" style="3" customWidth="1"/>
    <col min="32" max="32" width="11.5546875" style="3"/>
    <col min="33" max="33" width="8.21875" style="3" customWidth="1"/>
    <col min="34" max="34" width="11.5546875" style="3" customWidth="1"/>
    <col min="35" max="16384" width="11.5546875" style="3"/>
  </cols>
  <sheetData>
    <row r="1" spans="3:24" s="2" customFormat="1" x14ac:dyDescent="0.6"/>
    <row r="2" spans="3:24" s="2" customFormat="1" ht="37.799999999999997" x14ac:dyDescent="1.3">
      <c r="D2" s="156" t="s">
        <v>198</v>
      </c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9"/>
      <c r="S2" s="157" t="s">
        <v>0</v>
      </c>
      <c r="T2" s="157"/>
      <c r="U2" s="157"/>
      <c r="V2" s="157"/>
      <c r="W2" s="157"/>
    </row>
    <row r="3" spans="3:24" s="2" customFormat="1" ht="37.799999999999997" x14ac:dyDescent="1.3">
      <c r="D3" s="156" t="str">
        <f>D7&amp;" "&amp;K7</f>
        <v xml:space="preserve"> </v>
      </c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80">
        <f ca="1">TODAY()</f>
        <v>46099</v>
      </c>
      <c r="S3" s="180"/>
      <c r="T3" s="180"/>
      <c r="U3" s="180"/>
      <c r="V3" s="180"/>
      <c r="W3" s="180"/>
    </row>
    <row r="4" spans="3:24" s="2" customFormat="1" ht="20.55" customHeight="1" x14ac:dyDescent="0.7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3:24" s="2" customFormat="1" ht="27.6" customHeight="1" x14ac:dyDescent="0.7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3:24" s="2" customFormat="1" ht="24" x14ac:dyDescent="0.85">
      <c r="C6" s="168" t="s">
        <v>1</v>
      </c>
      <c r="D6" s="168"/>
      <c r="E6" s="168"/>
      <c r="F6" s="168"/>
      <c r="G6" s="168"/>
      <c r="H6" s="168"/>
      <c r="I6" s="12"/>
      <c r="J6" s="169" t="s">
        <v>2</v>
      </c>
      <c r="K6" s="170"/>
      <c r="L6" s="170"/>
      <c r="M6" s="170"/>
      <c r="N6" s="170"/>
      <c r="O6" s="171"/>
      <c r="P6" s="12"/>
      <c r="Q6" s="50" t="s">
        <v>3</v>
      </c>
      <c r="R6" s="153"/>
      <c r="S6" s="154"/>
      <c r="T6" s="154"/>
      <c r="U6" s="154"/>
      <c r="V6" s="154"/>
      <c r="W6" s="155"/>
    </row>
    <row r="7" spans="3:24" s="2" customFormat="1" ht="24" x14ac:dyDescent="0.85">
      <c r="C7" s="54" t="s">
        <v>4</v>
      </c>
      <c r="D7" s="167"/>
      <c r="E7" s="167"/>
      <c r="F7" s="167"/>
      <c r="G7" s="167"/>
      <c r="H7" s="167"/>
      <c r="I7" s="12"/>
      <c r="J7" s="55" t="s">
        <v>5</v>
      </c>
      <c r="K7" s="173"/>
      <c r="L7" s="174"/>
      <c r="M7" s="174"/>
      <c r="N7" s="174"/>
      <c r="O7" s="175"/>
      <c r="Q7" s="50" t="s">
        <v>6</v>
      </c>
      <c r="R7" s="153"/>
      <c r="S7" s="154"/>
      <c r="T7" s="154"/>
      <c r="U7" s="154"/>
      <c r="V7" s="154"/>
      <c r="W7" s="155"/>
    </row>
    <row r="8" spans="3:24" s="2" customFormat="1" ht="24" x14ac:dyDescent="0.85">
      <c r="C8" s="54" t="s">
        <v>7</v>
      </c>
      <c r="D8" s="167"/>
      <c r="E8" s="167"/>
      <c r="F8" s="167"/>
      <c r="G8" s="167"/>
      <c r="H8" s="167"/>
      <c r="I8" s="12"/>
      <c r="J8" s="55" t="s">
        <v>8</v>
      </c>
      <c r="K8" s="176"/>
      <c r="L8" s="177"/>
      <c r="M8" s="177"/>
      <c r="N8" s="177"/>
      <c r="O8" s="178"/>
      <c r="Q8" s="50" t="s">
        <v>9</v>
      </c>
      <c r="R8" s="249"/>
      <c r="S8" s="250"/>
      <c r="T8" s="250"/>
      <c r="U8" s="250"/>
      <c r="V8" s="250"/>
      <c r="W8" s="251"/>
    </row>
    <row r="9" spans="3:24" s="2" customFormat="1" ht="30" customHeight="1" x14ac:dyDescent="0.7">
      <c r="C9" s="54" t="s">
        <v>10</v>
      </c>
      <c r="D9" s="167"/>
      <c r="E9" s="167"/>
      <c r="F9" s="167"/>
      <c r="G9" s="167"/>
      <c r="H9" s="167"/>
      <c r="I9" s="12"/>
      <c r="J9" s="56" t="s">
        <v>11</v>
      </c>
      <c r="K9" s="252"/>
      <c r="L9" s="253"/>
      <c r="M9" s="253"/>
      <c r="N9" s="253"/>
      <c r="O9" s="254"/>
    </row>
    <row r="10" spans="3:24" s="2" customFormat="1" ht="27" customHeight="1" x14ac:dyDescent="0.7">
      <c r="C10" s="54" t="s">
        <v>12</v>
      </c>
      <c r="D10" s="167"/>
      <c r="E10" s="167"/>
      <c r="F10" s="167"/>
      <c r="G10" s="167"/>
      <c r="H10" s="167"/>
      <c r="I10" s="12"/>
      <c r="J10" s="55" t="s">
        <v>13</v>
      </c>
      <c r="K10" s="255"/>
      <c r="L10" s="256"/>
      <c r="M10" s="256"/>
      <c r="N10" s="256"/>
      <c r="O10" s="257"/>
      <c r="Q10" s="64" t="s">
        <v>14</v>
      </c>
      <c r="R10" s="179" t="s">
        <v>15</v>
      </c>
      <c r="S10" s="179"/>
      <c r="T10" s="179"/>
      <c r="U10" s="179"/>
      <c r="V10" s="179"/>
      <c r="W10" s="179"/>
    </row>
    <row r="11" spans="3:24" s="2" customFormat="1" ht="34.200000000000003" customHeight="1" x14ac:dyDescent="0.7">
      <c r="C11" s="54" t="s">
        <v>16</v>
      </c>
      <c r="D11" s="172" t="s">
        <v>17</v>
      </c>
      <c r="E11" s="172"/>
      <c r="F11" s="172"/>
      <c r="G11" s="172"/>
      <c r="H11" s="172"/>
      <c r="I11" s="12"/>
      <c r="J11" s="57" t="s">
        <v>18</v>
      </c>
      <c r="K11" s="164" t="s">
        <v>19</v>
      </c>
      <c r="L11" s="165"/>
      <c r="M11" s="165"/>
      <c r="N11" s="165"/>
      <c r="O11" s="166"/>
      <c r="Q11" s="40">
        <v>18</v>
      </c>
      <c r="R11" s="150">
        <v>1</v>
      </c>
      <c r="S11" s="151"/>
      <c r="T11" s="151"/>
      <c r="U11" s="151"/>
      <c r="V11" s="151"/>
      <c r="W11" s="152"/>
      <c r="X11" s="3"/>
    </row>
    <row r="12" spans="3:24" s="2" customFormat="1" ht="32.549999999999997" customHeight="1" x14ac:dyDescent="0.7">
      <c r="C12" s="20"/>
      <c r="D12" s="188"/>
      <c r="E12" s="188"/>
      <c r="F12" s="188"/>
      <c r="G12" s="188"/>
      <c r="H12" s="188"/>
      <c r="I12" s="12"/>
      <c r="J12" s="52" t="s">
        <v>20</v>
      </c>
      <c r="K12" s="240"/>
      <c r="L12" s="165"/>
      <c r="M12" s="165"/>
      <c r="N12" s="165"/>
      <c r="O12" s="166"/>
    </row>
    <row r="13" spans="3:24" s="2" customFormat="1" ht="30.6" customHeight="1" thickBot="1" x14ac:dyDescent="0.75">
      <c r="C13" s="12"/>
      <c r="D13" s="12"/>
      <c r="E13" s="12"/>
      <c r="F13" s="12"/>
      <c r="G13" s="12"/>
      <c r="H13" s="12"/>
      <c r="I13" s="12"/>
      <c r="J13" s="63" t="s">
        <v>21</v>
      </c>
      <c r="K13" s="173"/>
      <c r="L13" s="174"/>
      <c r="M13" s="174"/>
      <c r="N13" s="174"/>
      <c r="O13" s="175"/>
      <c r="Q13" s="158" t="s">
        <v>22</v>
      </c>
      <c r="R13" s="159"/>
      <c r="S13" s="159"/>
      <c r="T13" s="159"/>
      <c r="U13" s="159"/>
      <c r="V13" s="159"/>
      <c r="W13" s="160"/>
    </row>
    <row r="14" spans="3:24" s="2" customFormat="1" ht="38.4" thickBot="1" x14ac:dyDescent="1.35">
      <c r="C14" s="187" t="s">
        <v>23</v>
      </c>
      <c r="D14" s="187"/>
      <c r="E14" s="187"/>
      <c r="F14" s="187"/>
      <c r="G14" s="187"/>
      <c r="H14" s="187"/>
      <c r="I14" s="12"/>
      <c r="Q14" s="161" t="s">
        <v>24</v>
      </c>
      <c r="R14" s="162"/>
      <c r="S14" s="162"/>
      <c r="T14" s="162"/>
      <c r="U14" s="162"/>
      <c r="V14" s="162"/>
      <c r="W14" s="163"/>
    </row>
    <row r="15" spans="3:24" s="2" customFormat="1" ht="25.2" customHeight="1" x14ac:dyDescent="0.7">
      <c r="C15" s="24" t="s">
        <v>25</v>
      </c>
      <c r="D15" s="192"/>
      <c r="E15" s="192"/>
      <c r="F15" s="192"/>
      <c r="G15" s="192"/>
      <c r="H15" s="192"/>
      <c r="I15" s="12"/>
      <c r="J15" s="189" t="s">
        <v>26</v>
      </c>
      <c r="K15" s="190"/>
      <c r="L15" s="190"/>
      <c r="M15" s="190"/>
      <c r="N15" s="190"/>
      <c r="O15" s="191"/>
    </row>
    <row r="16" spans="3:24" s="2" customFormat="1" ht="26.55" customHeight="1" x14ac:dyDescent="0.7">
      <c r="C16" s="24" t="s">
        <v>27</v>
      </c>
      <c r="D16" s="193"/>
      <c r="E16" s="172"/>
      <c r="F16" s="47" t="s">
        <v>28</v>
      </c>
      <c r="G16" s="194"/>
      <c r="H16" s="195"/>
      <c r="I16" s="12"/>
      <c r="J16" s="196" t="s">
        <v>29</v>
      </c>
      <c r="K16" s="197"/>
      <c r="L16" s="197"/>
      <c r="M16" s="197"/>
      <c r="N16" s="197"/>
      <c r="O16" s="197"/>
    </row>
    <row r="17" spans="3:23" s="2" customFormat="1" ht="27" customHeight="1" x14ac:dyDescent="0.7">
      <c r="C17" s="24" t="s">
        <v>30</v>
      </c>
      <c r="D17" s="192"/>
      <c r="E17" s="192"/>
      <c r="F17" s="192"/>
      <c r="G17" s="192"/>
      <c r="H17" s="192"/>
      <c r="I17" s="12"/>
      <c r="J17" s="52" t="s">
        <v>31</v>
      </c>
      <c r="K17" s="21"/>
      <c r="L17" s="89" t="s">
        <v>32</v>
      </c>
      <c r="M17" s="90"/>
      <c r="N17" s="91"/>
      <c r="O17" s="21"/>
      <c r="Q17" s="158" t="s">
        <v>33</v>
      </c>
      <c r="R17" s="159"/>
      <c r="S17" s="159"/>
      <c r="T17" s="159"/>
      <c r="U17" s="159"/>
      <c r="V17" s="159"/>
      <c r="W17" s="160"/>
    </row>
    <row r="18" spans="3:23" s="2" customFormat="1" ht="25.95" customHeight="1" x14ac:dyDescent="0.7">
      <c r="C18" s="24" t="s">
        <v>27</v>
      </c>
      <c r="D18" s="193"/>
      <c r="E18" s="172"/>
      <c r="F18" s="48" t="s">
        <v>28</v>
      </c>
      <c r="G18" s="194"/>
      <c r="H18" s="195"/>
      <c r="I18" s="12"/>
      <c r="J18" s="52" t="s">
        <v>34</v>
      </c>
      <c r="K18" s="21"/>
      <c r="L18" s="89" t="s">
        <v>35</v>
      </c>
      <c r="M18" s="90"/>
      <c r="N18" s="91"/>
      <c r="O18" s="68"/>
      <c r="Q18" s="38" t="s">
        <v>24</v>
      </c>
      <c r="R18" s="182" t="s">
        <v>36</v>
      </c>
      <c r="S18" s="182"/>
      <c r="T18" s="182"/>
      <c r="U18" s="182"/>
      <c r="V18" s="182"/>
      <c r="W18" s="182"/>
    </row>
    <row r="19" spans="3:23" s="2" customFormat="1" ht="30" customHeight="1" x14ac:dyDescent="0.7">
      <c r="C19" s="25"/>
      <c r="D19" s="25"/>
      <c r="E19" s="25"/>
      <c r="F19" s="25"/>
      <c r="G19" s="25"/>
      <c r="H19" s="25"/>
      <c r="I19" s="12"/>
      <c r="J19" s="52" t="s">
        <v>37</v>
      </c>
      <c r="K19" s="21"/>
      <c r="Q19" s="183">
        <f>IF(Q14="MXN",R44/Q11,$R$44)</f>
        <v>0</v>
      </c>
      <c r="R19" s="183">
        <f>IF(Q14="USD",$Q$19*$Q$11,R44)</f>
        <v>0</v>
      </c>
      <c r="S19" s="183"/>
      <c r="T19" s="183"/>
      <c r="U19" s="183"/>
      <c r="V19" s="183"/>
      <c r="W19" s="183"/>
    </row>
    <row r="20" spans="3:23" s="2" customFormat="1" ht="21.6" customHeight="1" x14ac:dyDescent="0.7">
      <c r="C20" s="25"/>
      <c r="D20" s="25"/>
      <c r="E20" s="25"/>
      <c r="F20" s="25"/>
      <c r="G20" s="25"/>
      <c r="H20" s="25"/>
      <c r="I20" s="12"/>
      <c r="Q20" s="183"/>
      <c r="R20" s="183"/>
      <c r="S20" s="183"/>
      <c r="T20" s="183"/>
      <c r="U20" s="183"/>
      <c r="V20" s="183"/>
      <c r="W20" s="183"/>
    </row>
    <row r="21" spans="3:23" s="2" customFormat="1" ht="22.95" customHeight="1" x14ac:dyDescent="0.7">
      <c r="C21" s="187" t="s">
        <v>38</v>
      </c>
      <c r="D21" s="187"/>
      <c r="E21" s="187"/>
      <c r="F21" s="187"/>
      <c r="G21" s="187"/>
      <c r="H21" s="187"/>
      <c r="I21" s="12"/>
    </row>
    <row r="22" spans="3:23" s="2" customFormat="1" ht="25.2" customHeight="1" x14ac:dyDescent="0.7">
      <c r="C22" s="24" t="s">
        <v>39</v>
      </c>
      <c r="D22" s="205" t="s">
        <v>40</v>
      </c>
      <c r="E22" s="205"/>
      <c r="F22" s="205"/>
      <c r="G22" s="205"/>
      <c r="H22" s="205"/>
      <c r="I22" s="12"/>
      <c r="J22" s="92" t="s">
        <v>41</v>
      </c>
      <c r="K22" s="92"/>
      <c r="L22" s="92"/>
      <c r="M22" s="92"/>
      <c r="N22" s="92"/>
      <c r="O22" s="92"/>
      <c r="Q22" s="182" t="s">
        <v>42</v>
      </c>
      <c r="R22" s="182"/>
      <c r="S22" s="182"/>
      <c r="T22" s="182"/>
      <c r="U22" s="182"/>
      <c r="V22" s="182"/>
      <c r="W22" s="182"/>
    </row>
    <row r="23" spans="3:23" s="2" customFormat="1" ht="25.95" customHeight="1" x14ac:dyDescent="0.9">
      <c r="C23" s="24" t="s">
        <v>43</v>
      </c>
      <c r="D23" s="259" t="s">
        <v>44</v>
      </c>
      <c r="E23" s="259"/>
      <c r="F23" s="259"/>
      <c r="G23" s="259"/>
      <c r="H23" s="259"/>
      <c r="I23" s="12"/>
      <c r="J23" s="53" t="s">
        <v>45</v>
      </c>
      <c r="K23" s="199" t="s">
        <v>46</v>
      </c>
      <c r="L23" s="200"/>
      <c r="M23" s="200"/>
      <c r="N23" s="200"/>
      <c r="O23" s="201"/>
      <c r="Q23" s="46" t="s">
        <v>24</v>
      </c>
      <c r="R23" s="206" t="s">
        <v>36</v>
      </c>
      <c r="S23" s="206"/>
      <c r="T23" s="206"/>
      <c r="U23" s="206"/>
      <c r="V23" s="206"/>
      <c r="W23" s="206"/>
    </row>
    <row r="24" spans="3:23" s="2" customFormat="1" ht="23.55" customHeight="1" x14ac:dyDescent="0.7">
      <c r="C24" s="26" t="s">
        <v>47</v>
      </c>
      <c r="D24" s="260" t="s">
        <v>44</v>
      </c>
      <c r="E24" s="260"/>
      <c r="F24" s="260"/>
      <c r="G24" s="260"/>
      <c r="H24" s="260"/>
      <c r="I24" s="12"/>
      <c r="J24" s="53" t="s">
        <v>48</v>
      </c>
      <c r="K24" s="194"/>
      <c r="L24" s="198"/>
      <c r="M24" s="198"/>
      <c r="N24" s="198"/>
      <c r="O24" s="195"/>
      <c r="Q24" s="183">
        <f>IF(Q14="mxn",($Q$44+$D$51)/Q11,(Q44+D51))</f>
        <v>0</v>
      </c>
      <c r="R24" s="183">
        <f>$Q$24*$Q$11</f>
        <v>0</v>
      </c>
      <c r="S24" s="183"/>
      <c r="T24" s="183"/>
      <c r="U24" s="183"/>
      <c r="V24" s="183"/>
      <c r="W24" s="183"/>
    </row>
    <row r="25" spans="3:23" s="2" customFormat="1" ht="24" customHeight="1" x14ac:dyDescent="0.7">
      <c r="C25" s="202" t="s">
        <v>49</v>
      </c>
      <c r="D25" s="203"/>
      <c r="E25" s="203"/>
      <c r="F25" s="203"/>
      <c r="G25" s="203"/>
      <c r="H25" s="204"/>
      <c r="I25" s="12"/>
      <c r="J25" s="53" t="s">
        <v>50</v>
      </c>
      <c r="K25" s="95"/>
      <c r="L25" s="96"/>
      <c r="M25" s="96"/>
      <c r="N25" s="96"/>
      <c r="O25" s="97"/>
      <c r="Q25" s="183"/>
      <c r="R25" s="183"/>
      <c r="S25" s="183"/>
      <c r="T25" s="183"/>
      <c r="U25" s="183"/>
      <c r="V25" s="183"/>
      <c r="W25" s="183"/>
    </row>
    <row r="26" spans="3:23" s="2" customFormat="1" ht="25.2" customHeight="1" x14ac:dyDescent="0.7">
      <c r="C26" s="258" t="s">
        <v>51</v>
      </c>
      <c r="D26" s="258"/>
      <c r="E26" s="258"/>
      <c r="F26" s="258"/>
      <c r="G26" s="258"/>
      <c r="H26" s="258"/>
      <c r="I26" s="12"/>
      <c r="J26" s="53" t="s">
        <v>52</v>
      </c>
      <c r="K26" s="95"/>
      <c r="L26" s="96"/>
      <c r="M26" s="96"/>
      <c r="N26" s="96"/>
      <c r="O26" s="97"/>
    </row>
    <row r="27" spans="3:23" s="2" customFormat="1" ht="25.2" customHeight="1" x14ac:dyDescent="0.7">
      <c r="C27" s="258"/>
      <c r="D27" s="258"/>
      <c r="E27" s="258"/>
      <c r="F27" s="258"/>
      <c r="G27" s="258"/>
      <c r="H27" s="258"/>
      <c r="I27" s="12"/>
      <c r="J27" s="53" t="s">
        <v>53</v>
      </c>
      <c r="K27" s="95"/>
      <c r="L27" s="96"/>
      <c r="M27" s="96"/>
      <c r="N27" s="96"/>
      <c r="O27" s="97"/>
    </row>
    <row r="28" spans="3:23" s="2" customFormat="1" ht="26.4" x14ac:dyDescent="0.7">
      <c r="I28" s="12"/>
      <c r="Q28" s="207" t="s">
        <v>54</v>
      </c>
      <c r="R28" s="207"/>
      <c r="S28" s="207"/>
      <c r="T28" s="207"/>
      <c r="U28" s="207"/>
      <c r="V28" s="207"/>
      <c r="W28" s="207"/>
    </row>
    <row r="29" spans="3:23" s="2" customFormat="1" ht="27.6" customHeight="1" x14ac:dyDescent="0.9">
      <c r="I29" s="12"/>
      <c r="Q29" s="45" t="s">
        <v>24</v>
      </c>
      <c r="R29" s="206" t="s">
        <v>36</v>
      </c>
      <c r="S29" s="206"/>
      <c r="T29" s="206"/>
      <c r="U29" s="206"/>
      <c r="V29" s="206"/>
      <c r="W29" s="206"/>
    </row>
    <row r="30" spans="3:23" s="2" customFormat="1" ht="28.2" customHeight="1" x14ac:dyDescent="0.7">
      <c r="I30" s="12"/>
      <c r="Q30" s="49">
        <f>$Q$19-$Q$24</f>
        <v>0</v>
      </c>
      <c r="R30" s="208">
        <f>$Q$30*$Q$11</f>
        <v>0</v>
      </c>
      <c r="S30" s="209"/>
      <c r="T30" s="209"/>
      <c r="U30" s="209"/>
      <c r="V30" s="209"/>
      <c r="W30" s="210"/>
    </row>
    <row r="31" spans="3:23" s="2" customFormat="1" ht="27" customHeight="1" x14ac:dyDescent="0.7">
      <c r="I31" s="12"/>
      <c r="Q31" s="211" t="e">
        <f>+$Q$30/$Q$19</f>
        <v>#DIV/0!</v>
      </c>
      <c r="R31" s="212"/>
      <c r="S31" s="212"/>
      <c r="T31" s="212"/>
      <c r="U31" s="212"/>
      <c r="V31" s="212"/>
      <c r="W31" s="213"/>
    </row>
    <row r="32" spans="3:23" s="2" customFormat="1" ht="24" customHeight="1" x14ac:dyDescent="0.7">
      <c r="I32" s="12"/>
      <c r="Q32" s="214"/>
      <c r="R32" s="215"/>
      <c r="S32" s="215"/>
      <c r="T32" s="215"/>
      <c r="U32" s="215"/>
      <c r="V32" s="215"/>
      <c r="W32" s="216"/>
    </row>
    <row r="33" spans="2:28" s="2" customFormat="1" ht="25.95" customHeight="1" x14ac:dyDescent="0.7">
      <c r="I33" s="12"/>
    </row>
    <row r="34" spans="2:28" s="2" customFormat="1" ht="20.399999999999999" x14ac:dyDescent="0.6">
      <c r="B34" s="31"/>
      <c r="I34" s="31"/>
      <c r="J34" s="27"/>
      <c r="K34" s="27"/>
      <c r="L34" s="27"/>
      <c r="M34" s="27"/>
      <c r="N34" s="27"/>
      <c r="O34" s="27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spans="2:28" s="37" customFormat="1" ht="20.399999999999999" x14ac:dyDescent="0.7">
      <c r="B35" s="114" t="s">
        <v>55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</row>
    <row r="36" spans="2:28" s="36" customFormat="1" ht="20.399999999999999" x14ac:dyDescent="0.7">
      <c r="B36" s="75" t="s">
        <v>56</v>
      </c>
      <c r="C36" s="75"/>
      <c r="D36" s="75"/>
      <c r="E36" s="75"/>
      <c r="F36" s="75"/>
      <c r="G36" s="75"/>
      <c r="H36" s="75"/>
      <c r="I36" s="119" t="s">
        <v>57</v>
      </c>
      <c r="J36" s="120"/>
      <c r="K36" s="73" t="s">
        <v>58</v>
      </c>
      <c r="L36" s="86"/>
      <c r="M36" s="74"/>
      <c r="N36" s="73" t="s">
        <v>59</v>
      </c>
      <c r="O36" s="86"/>
      <c r="P36" s="74"/>
      <c r="Q36" s="35" t="s">
        <v>60</v>
      </c>
      <c r="R36" s="73" t="s">
        <v>61</v>
      </c>
      <c r="S36" s="86"/>
      <c r="T36" s="86"/>
      <c r="U36" s="86"/>
      <c r="V36" s="86"/>
      <c r="W36" s="86"/>
      <c r="X36" s="74"/>
      <c r="Y36" s="75" t="s">
        <v>62</v>
      </c>
      <c r="Z36" s="75"/>
      <c r="AA36" s="75" t="s">
        <v>63</v>
      </c>
      <c r="AB36" s="75"/>
    </row>
    <row r="37" spans="2:28" s="23" customFormat="1" ht="19.8" x14ac:dyDescent="0.3">
      <c r="B37" s="32">
        <v>1</v>
      </c>
      <c r="C37" s="111"/>
      <c r="D37" s="112"/>
      <c r="E37" s="112"/>
      <c r="F37" s="112"/>
      <c r="G37" s="112"/>
      <c r="H37" s="113"/>
      <c r="I37" s="100"/>
      <c r="J37" s="101"/>
      <c r="K37" s="105"/>
      <c r="L37" s="106"/>
      <c r="M37" s="107"/>
      <c r="N37" s="108"/>
      <c r="O37" s="106"/>
      <c r="P37" s="107"/>
      <c r="Q37" s="33">
        <f>I37*N37</f>
        <v>0</v>
      </c>
      <c r="R37" s="184">
        <f t="shared" ref="R37:R42" si="0">K37*N37</f>
        <v>0</v>
      </c>
      <c r="S37" s="185"/>
      <c r="T37" s="185"/>
      <c r="U37" s="185"/>
      <c r="V37" s="185"/>
      <c r="W37" s="185"/>
      <c r="X37" s="186"/>
      <c r="Y37" s="181">
        <f t="shared" ref="Y37:Y42" si="1">R37-Q37</f>
        <v>0</v>
      </c>
      <c r="Z37" s="181"/>
      <c r="AA37" s="115">
        <f t="shared" ref="AA37:AA42" si="2">IFERROR(Y37/R37,0)</f>
        <v>0</v>
      </c>
      <c r="AB37" s="115"/>
    </row>
    <row r="38" spans="2:28" s="23" customFormat="1" ht="19.8" x14ac:dyDescent="0.3">
      <c r="B38" s="28">
        <v>2</v>
      </c>
      <c r="C38" s="111"/>
      <c r="D38" s="112"/>
      <c r="E38" s="112"/>
      <c r="F38" s="112"/>
      <c r="G38" s="112"/>
      <c r="H38" s="113"/>
      <c r="I38" s="98"/>
      <c r="J38" s="99"/>
      <c r="K38" s="102"/>
      <c r="L38" s="103"/>
      <c r="M38" s="104"/>
      <c r="N38" s="109"/>
      <c r="O38" s="103"/>
      <c r="P38" s="104"/>
      <c r="Q38" s="29">
        <f>I38*N38</f>
        <v>0</v>
      </c>
      <c r="R38" s="184">
        <f t="shared" si="0"/>
        <v>0</v>
      </c>
      <c r="S38" s="185"/>
      <c r="T38" s="185"/>
      <c r="U38" s="185"/>
      <c r="V38" s="185"/>
      <c r="W38" s="185"/>
      <c r="X38" s="186"/>
      <c r="Y38" s="128">
        <f t="shared" si="1"/>
        <v>0</v>
      </c>
      <c r="Z38" s="128"/>
      <c r="AA38" s="125">
        <f t="shared" si="2"/>
        <v>0</v>
      </c>
      <c r="AB38" s="125"/>
    </row>
    <row r="39" spans="2:28" s="23" customFormat="1" ht="19.8" x14ac:dyDescent="0.3">
      <c r="B39" s="28">
        <v>3</v>
      </c>
      <c r="C39" s="111"/>
      <c r="D39" s="112"/>
      <c r="E39" s="112"/>
      <c r="F39" s="112"/>
      <c r="G39" s="112"/>
      <c r="H39" s="113"/>
      <c r="I39" s="98"/>
      <c r="J39" s="99"/>
      <c r="K39" s="102"/>
      <c r="L39" s="103"/>
      <c r="M39" s="104"/>
      <c r="N39" s="109"/>
      <c r="O39" s="103"/>
      <c r="P39" s="104"/>
      <c r="Q39" s="29">
        <f t="shared" ref="Q39:Q42" si="3">I39*N39</f>
        <v>0</v>
      </c>
      <c r="R39" s="184">
        <f t="shared" si="0"/>
        <v>0</v>
      </c>
      <c r="S39" s="185"/>
      <c r="T39" s="185"/>
      <c r="U39" s="185"/>
      <c r="V39" s="185"/>
      <c r="W39" s="185"/>
      <c r="X39" s="186"/>
      <c r="Y39" s="128">
        <f t="shared" si="1"/>
        <v>0</v>
      </c>
      <c r="Z39" s="128"/>
      <c r="AA39" s="125">
        <f t="shared" si="2"/>
        <v>0</v>
      </c>
      <c r="AB39" s="125"/>
    </row>
    <row r="40" spans="2:28" s="23" customFormat="1" ht="19.8" x14ac:dyDescent="0.3">
      <c r="B40" s="28">
        <v>4</v>
      </c>
      <c r="C40" s="111"/>
      <c r="D40" s="112"/>
      <c r="E40" s="112"/>
      <c r="F40" s="112"/>
      <c r="G40" s="112"/>
      <c r="H40" s="113"/>
      <c r="I40" s="98"/>
      <c r="J40" s="99"/>
      <c r="K40" s="102"/>
      <c r="L40" s="103"/>
      <c r="M40" s="104"/>
      <c r="N40" s="109"/>
      <c r="O40" s="103"/>
      <c r="P40" s="104"/>
      <c r="Q40" s="29">
        <f t="shared" si="3"/>
        <v>0</v>
      </c>
      <c r="R40" s="184">
        <f t="shared" si="0"/>
        <v>0</v>
      </c>
      <c r="S40" s="185"/>
      <c r="T40" s="185"/>
      <c r="U40" s="185"/>
      <c r="V40" s="185"/>
      <c r="W40" s="185"/>
      <c r="X40" s="186"/>
      <c r="Y40" s="128">
        <f t="shared" si="1"/>
        <v>0</v>
      </c>
      <c r="Z40" s="128"/>
      <c r="AA40" s="125">
        <f t="shared" si="2"/>
        <v>0</v>
      </c>
      <c r="AB40" s="125"/>
    </row>
    <row r="41" spans="2:28" s="23" customFormat="1" ht="19.8" x14ac:dyDescent="0.3">
      <c r="B41" s="28">
        <v>5</v>
      </c>
      <c r="C41" s="111"/>
      <c r="D41" s="112"/>
      <c r="E41" s="112"/>
      <c r="F41" s="112"/>
      <c r="G41" s="112"/>
      <c r="H41" s="113"/>
      <c r="I41" s="98"/>
      <c r="J41" s="99"/>
      <c r="K41" s="102"/>
      <c r="L41" s="103"/>
      <c r="M41" s="104"/>
      <c r="N41" s="109"/>
      <c r="O41" s="103"/>
      <c r="P41" s="104"/>
      <c r="Q41" s="29">
        <f t="shared" si="3"/>
        <v>0</v>
      </c>
      <c r="R41" s="184">
        <f t="shared" si="0"/>
        <v>0</v>
      </c>
      <c r="S41" s="185"/>
      <c r="T41" s="185"/>
      <c r="U41" s="185"/>
      <c r="V41" s="185"/>
      <c r="W41" s="185"/>
      <c r="X41" s="186"/>
      <c r="Y41" s="128">
        <f t="shared" si="1"/>
        <v>0</v>
      </c>
      <c r="Z41" s="128"/>
      <c r="AA41" s="125">
        <f t="shared" si="2"/>
        <v>0</v>
      </c>
      <c r="AB41" s="125"/>
    </row>
    <row r="42" spans="2:28" s="23" customFormat="1" ht="19.8" x14ac:dyDescent="0.3">
      <c r="B42" s="28">
        <v>6</v>
      </c>
      <c r="C42" s="111"/>
      <c r="D42" s="112"/>
      <c r="E42" s="112"/>
      <c r="F42" s="112"/>
      <c r="G42" s="112"/>
      <c r="H42" s="113"/>
      <c r="I42" s="98"/>
      <c r="J42" s="99"/>
      <c r="K42" s="102"/>
      <c r="L42" s="103"/>
      <c r="M42" s="104"/>
      <c r="N42" s="109"/>
      <c r="O42" s="103"/>
      <c r="P42" s="104"/>
      <c r="Q42" s="29">
        <f t="shared" si="3"/>
        <v>0</v>
      </c>
      <c r="R42" s="184">
        <f t="shared" si="0"/>
        <v>0</v>
      </c>
      <c r="S42" s="185"/>
      <c r="T42" s="185"/>
      <c r="U42" s="185"/>
      <c r="V42" s="185"/>
      <c r="W42" s="185"/>
      <c r="X42" s="186"/>
      <c r="Y42" s="128">
        <f t="shared" si="1"/>
        <v>0</v>
      </c>
      <c r="Z42" s="128"/>
      <c r="AA42" s="125">
        <f t="shared" si="2"/>
        <v>0</v>
      </c>
      <c r="AB42" s="125"/>
    </row>
    <row r="43" spans="2:28" s="13" customFormat="1" ht="19.8" x14ac:dyDescent="0.7">
      <c r="B43" s="14"/>
      <c r="C43" s="14"/>
      <c r="D43" s="14"/>
      <c r="E43" s="14"/>
      <c r="F43" s="14"/>
      <c r="G43" s="14"/>
      <c r="H43" s="14"/>
      <c r="I43" s="15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7"/>
      <c r="AB43" s="17"/>
    </row>
    <row r="44" spans="2:28" s="13" customFormat="1" ht="19.8" x14ac:dyDescent="0.7">
      <c r="B44" s="246" t="s">
        <v>64</v>
      </c>
      <c r="C44" s="247"/>
      <c r="D44" s="247"/>
      <c r="E44" s="247"/>
      <c r="F44" s="247"/>
      <c r="G44" s="247"/>
      <c r="H44" s="248"/>
      <c r="I44" s="244">
        <f>SUM(I37:J42)</f>
        <v>0</v>
      </c>
      <c r="J44" s="245"/>
      <c r="K44" s="131">
        <f>SUM(K37:M42)</f>
        <v>0</v>
      </c>
      <c r="L44" s="126"/>
      <c r="M44" s="127"/>
      <c r="N44" s="129">
        <f>SUM(N37:P42)</f>
        <v>0</v>
      </c>
      <c r="O44" s="126"/>
      <c r="P44" s="130"/>
      <c r="Q44" s="18">
        <f>SUM(Q37:Q42)</f>
        <v>0</v>
      </c>
      <c r="R44" s="132">
        <f>SUM(R37:X42)</f>
        <v>0</v>
      </c>
      <c r="S44" s="133"/>
      <c r="T44" s="133"/>
      <c r="U44" s="133"/>
      <c r="V44" s="133"/>
      <c r="W44" s="133"/>
      <c r="X44" s="134"/>
      <c r="Y44" s="126">
        <f>SUM(Y37:Z42)</f>
        <v>0</v>
      </c>
      <c r="Z44" s="127"/>
      <c r="AA44" s="124">
        <f>IFERROR(Y44/R44,0)</f>
        <v>0</v>
      </c>
      <c r="AB44" s="124"/>
    </row>
    <row r="45" spans="2:28" ht="20.399999999999999" x14ac:dyDescent="0.6">
      <c r="B45" s="7"/>
      <c r="C45" s="7"/>
      <c r="D45" s="7"/>
      <c r="E45" s="7"/>
      <c r="F45" s="7"/>
      <c r="G45" s="7"/>
      <c r="H45" s="7"/>
      <c r="I45" s="8"/>
      <c r="J45" s="8"/>
      <c r="K45" s="5"/>
      <c r="L45" s="5"/>
      <c r="M45" s="5"/>
      <c r="N45" s="8"/>
      <c r="O45" s="8"/>
      <c r="P45" s="8"/>
      <c r="R45" s="5"/>
      <c r="S45" s="5"/>
      <c r="T45" s="5"/>
      <c r="U45" s="5"/>
      <c r="V45" s="5"/>
      <c r="W45" s="5"/>
      <c r="X45" s="5"/>
      <c r="Y45" s="5"/>
      <c r="Z45" s="5"/>
      <c r="AA45" s="6"/>
      <c r="AB45" s="6"/>
    </row>
    <row r="46" spans="2:28" s="2" customFormat="1" ht="20.399999999999999" x14ac:dyDescent="0.6">
      <c r="B46" s="75" t="s">
        <v>65</v>
      </c>
      <c r="C46" s="75"/>
      <c r="D46" s="75"/>
      <c r="E46" s="75"/>
      <c r="F46" s="75"/>
      <c r="G46" s="75"/>
      <c r="N46" s="3"/>
      <c r="O46" s="3"/>
      <c r="P46" s="3"/>
      <c r="Q46" s="44"/>
    </row>
    <row r="47" spans="2:28" ht="19.8" x14ac:dyDescent="0.6">
      <c r="B47" s="82" t="s">
        <v>66</v>
      </c>
      <c r="C47" s="83"/>
      <c r="D47" s="147" t="s">
        <v>40</v>
      </c>
      <c r="E47" s="147"/>
      <c r="F47" s="147"/>
      <c r="G47" s="147"/>
      <c r="H47" s="3"/>
    </row>
    <row r="48" spans="2:28" ht="19.8" x14ac:dyDescent="0.6">
      <c r="B48" s="148" t="s">
        <v>67</v>
      </c>
      <c r="C48" s="149"/>
      <c r="D48" s="147"/>
      <c r="E48" s="147"/>
      <c r="F48" s="147"/>
      <c r="G48" s="147"/>
      <c r="H48" s="3"/>
    </row>
    <row r="49" spans="2:32" ht="19.8" x14ac:dyDescent="0.6">
      <c r="B49" s="82" t="s">
        <v>68</v>
      </c>
      <c r="C49" s="83"/>
      <c r="D49" s="147"/>
      <c r="E49" s="147"/>
      <c r="F49" s="147"/>
      <c r="G49" s="147"/>
      <c r="H49" s="9"/>
    </row>
    <row r="50" spans="2:32" ht="19.8" x14ac:dyDescent="0.6">
      <c r="B50" s="82" t="s">
        <v>69</v>
      </c>
      <c r="C50" s="83"/>
      <c r="D50" s="84"/>
      <c r="E50" s="84"/>
      <c r="F50" s="84"/>
      <c r="G50" s="84"/>
      <c r="H50" s="9"/>
      <c r="I50" s="9"/>
    </row>
    <row r="51" spans="2:32" ht="19.8" x14ac:dyDescent="0.7">
      <c r="B51" s="82" t="s">
        <v>70</v>
      </c>
      <c r="C51" s="83"/>
      <c r="D51" s="135">
        <f>IF(D49="COSTO",Q44*D50,IF(D49="VENTA",R44*D50,Y44*D50))</f>
        <v>0</v>
      </c>
      <c r="E51" s="135"/>
      <c r="F51" s="135"/>
      <c r="G51" s="135"/>
      <c r="H51" s="4"/>
      <c r="I51" s="136" t="s">
        <v>71</v>
      </c>
      <c r="J51" s="137"/>
      <c r="K51" s="137"/>
      <c r="L51" s="137"/>
      <c r="M51" s="137"/>
      <c r="N51" s="137"/>
      <c r="O51" s="137"/>
      <c r="P51" s="138"/>
      <c r="Q51" s="18">
        <f>Q44+D51</f>
        <v>0</v>
      </c>
      <c r="R51" s="132">
        <f>R44</f>
        <v>0</v>
      </c>
      <c r="S51" s="133"/>
      <c r="T51" s="133"/>
      <c r="U51" s="133"/>
      <c r="V51" s="133"/>
      <c r="W51" s="133"/>
      <c r="X51" s="134"/>
      <c r="Y51" s="126">
        <f>R51-Q51</f>
        <v>0</v>
      </c>
      <c r="Z51" s="127"/>
      <c r="AA51" s="124">
        <f>IFERROR(Y51/R51,0)</f>
        <v>0</v>
      </c>
      <c r="AB51" s="124"/>
    </row>
    <row r="52" spans="2:32" ht="19.8" x14ac:dyDescent="0.6">
      <c r="B52" s="82" t="s">
        <v>72</v>
      </c>
      <c r="C52" s="83"/>
      <c r="D52" s="84" t="s">
        <v>24</v>
      </c>
      <c r="E52" s="84"/>
      <c r="F52" s="84"/>
      <c r="G52" s="84"/>
      <c r="H52" s="3"/>
    </row>
    <row r="53" spans="2:32" x14ac:dyDescent="0.6">
      <c r="B53" s="3"/>
      <c r="C53" s="3"/>
      <c r="D53" s="3"/>
      <c r="E53" s="3"/>
      <c r="F53" s="3"/>
      <c r="G53" s="3"/>
      <c r="H53" s="3"/>
    </row>
    <row r="54" spans="2:32" x14ac:dyDescent="0.6">
      <c r="B54" s="3"/>
      <c r="C54" s="3"/>
      <c r="D54" s="3"/>
      <c r="E54" s="3"/>
      <c r="F54" s="3"/>
      <c r="G54" s="3"/>
      <c r="H54" s="3"/>
    </row>
    <row r="55" spans="2:32" ht="12" customHeight="1" x14ac:dyDescent="0.6">
      <c r="B55" s="3"/>
      <c r="C55" s="3"/>
      <c r="D55" s="3"/>
      <c r="E55" s="3"/>
      <c r="F55" s="3"/>
      <c r="G55" s="3"/>
      <c r="H55" s="3"/>
    </row>
    <row r="56" spans="2:32" ht="12" customHeight="1" x14ac:dyDescent="0.6">
      <c r="B56" s="3"/>
      <c r="C56" s="3"/>
      <c r="D56" s="3"/>
      <c r="E56" s="3"/>
      <c r="F56" s="3"/>
      <c r="G56" s="3"/>
      <c r="H56" s="3"/>
    </row>
    <row r="57" spans="2:32" ht="20.399999999999999" x14ac:dyDescent="0.6">
      <c r="B57" s="85" t="s">
        <v>73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AC57" s="242" t="s">
        <v>74</v>
      </c>
      <c r="AD57" s="242"/>
      <c r="AE57" s="242"/>
      <c r="AF57" s="242"/>
    </row>
    <row r="58" spans="2:32" s="22" customFormat="1" ht="20.399999999999999" x14ac:dyDescent="0.6">
      <c r="B58" s="110" t="s">
        <v>75</v>
      </c>
      <c r="C58" s="80"/>
      <c r="D58" s="80"/>
      <c r="E58" s="80"/>
      <c r="F58" s="80" t="s">
        <v>76</v>
      </c>
      <c r="G58" s="81"/>
      <c r="H58" s="35" t="s">
        <v>77</v>
      </c>
      <c r="I58" s="35" t="s">
        <v>78</v>
      </c>
      <c r="J58" s="35" t="s">
        <v>79</v>
      </c>
      <c r="K58" s="110" t="s">
        <v>80</v>
      </c>
      <c r="L58" s="81"/>
      <c r="M58" s="73" t="s">
        <v>81</v>
      </c>
      <c r="N58" s="74"/>
      <c r="O58" s="73" t="s">
        <v>82</v>
      </c>
      <c r="P58" s="74"/>
      <c r="Q58" s="35" t="s">
        <v>83</v>
      </c>
      <c r="R58" s="58" t="s">
        <v>84</v>
      </c>
      <c r="S58" s="73" t="s">
        <v>85</v>
      </c>
      <c r="T58" s="86"/>
      <c r="U58" s="86"/>
      <c r="V58" s="86"/>
      <c r="W58" s="86"/>
      <c r="X58" s="86"/>
      <c r="Y58" s="74"/>
      <c r="Z58" s="3"/>
      <c r="AA58" s="3"/>
      <c r="AB58" s="3"/>
      <c r="AC58" s="73" t="s">
        <v>86</v>
      </c>
      <c r="AD58" s="74"/>
      <c r="AE58" s="75" t="s">
        <v>87</v>
      </c>
      <c r="AF58" s="75"/>
    </row>
    <row r="59" spans="2:32" s="22" customFormat="1" ht="21" customHeight="1" x14ac:dyDescent="0.6">
      <c r="B59" s="28">
        <v>1</v>
      </c>
      <c r="C59" s="79"/>
      <c r="D59" s="79"/>
      <c r="E59" s="79"/>
      <c r="F59" s="262"/>
      <c r="G59" s="262"/>
      <c r="H59" s="261"/>
      <c r="I59" s="65"/>
      <c r="J59" s="116" t="s">
        <v>24</v>
      </c>
      <c r="K59" s="139"/>
      <c r="L59" s="140"/>
      <c r="M59" s="87">
        <f>IFERROR(IF($J$59="USD",K59/$Q$19,K59/$R$19)*I59,0)</f>
        <v>0</v>
      </c>
      <c r="N59" s="88"/>
      <c r="O59" s="264"/>
      <c r="P59" s="265"/>
      <c r="Q59" s="60"/>
      <c r="R59" s="263"/>
      <c r="S59" s="76"/>
      <c r="T59" s="77"/>
      <c r="U59" s="77"/>
      <c r="V59" s="77"/>
      <c r="W59" s="77"/>
      <c r="X59" s="77"/>
      <c r="Y59" s="78"/>
      <c r="Z59" s="3"/>
      <c r="AA59" s="3"/>
      <c r="AB59" s="3"/>
      <c r="AC59" s="70">
        <f>IFERROR(($D$51*M59)/I59,0)</f>
        <v>0</v>
      </c>
      <c r="AD59" s="70"/>
      <c r="AE59" s="71">
        <f t="shared" ref="AE59:AE73" si="4">IF(AC59&gt;0,I59,0)</f>
        <v>0</v>
      </c>
      <c r="AF59" s="71"/>
    </row>
    <row r="60" spans="2:32" s="22" customFormat="1" ht="20.55" customHeight="1" x14ac:dyDescent="0.6">
      <c r="B60" s="28">
        <v>2</v>
      </c>
      <c r="C60" s="79"/>
      <c r="D60" s="79"/>
      <c r="E60" s="79"/>
      <c r="F60" s="262"/>
      <c r="G60" s="262"/>
      <c r="H60" s="261"/>
      <c r="I60" s="66"/>
      <c r="J60" s="117"/>
      <c r="K60" s="141"/>
      <c r="L60" s="142"/>
      <c r="M60" s="87">
        <f t="shared" ref="M60:M73" si="5">IFERROR(IF($J$59="USD",K60/$Q$19,K60/$R$19)*I60,0)</f>
        <v>0</v>
      </c>
      <c r="N60" s="88"/>
      <c r="O60" s="264"/>
      <c r="P60" s="265"/>
      <c r="Q60" s="60"/>
      <c r="R60" s="263"/>
      <c r="S60" s="76"/>
      <c r="T60" s="77"/>
      <c r="U60" s="77"/>
      <c r="V60" s="77"/>
      <c r="W60" s="77"/>
      <c r="X60" s="77"/>
      <c r="Y60" s="78"/>
      <c r="Z60" s="3"/>
      <c r="AA60" s="3"/>
      <c r="AB60" s="3"/>
      <c r="AC60" s="70">
        <f t="shared" ref="AC60:AC73" si="6">IFERROR(($D$51*M60)/I60,0)</f>
        <v>0</v>
      </c>
      <c r="AD60" s="70"/>
      <c r="AE60" s="71">
        <f t="shared" si="4"/>
        <v>0</v>
      </c>
      <c r="AF60" s="71"/>
    </row>
    <row r="61" spans="2:32" s="22" customFormat="1" ht="20.55" customHeight="1" x14ac:dyDescent="0.6">
      <c r="B61" s="28">
        <v>3</v>
      </c>
      <c r="C61" s="79"/>
      <c r="D61" s="79"/>
      <c r="E61" s="79"/>
      <c r="F61" s="262"/>
      <c r="G61" s="262"/>
      <c r="H61" s="261"/>
      <c r="I61" s="66"/>
      <c r="J61" s="117"/>
      <c r="K61" s="143"/>
      <c r="L61" s="144"/>
      <c r="M61" s="87">
        <f t="shared" si="5"/>
        <v>0</v>
      </c>
      <c r="N61" s="88"/>
      <c r="O61" s="264"/>
      <c r="P61" s="265" t="s">
        <v>88</v>
      </c>
      <c r="Q61" s="60"/>
      <c r="R61" s="263"/>
      <c r="S61" s="76"/>
      <c r="T61" s="77"/>
      <c r="U61" s="77"/>
      <c r="V61" s="77"/>
      <c r="W61" s="77"/>
      <c r="X61" s="77"/>
      <c r="Y61" s="78"/>
      <c r="Z61" s="3"/>
      <c r="AA61" s="3"/>
      <c r="AB61" s="3"/>
      <c r="AC61" s="70">
        <f t="shared" si="6"/>
        <v>0</v>
      </c>
      <c r="AD61" s="70"/>
      <c r="AE61" s="71">
        <f t="shared" si="4"/>
        <v>0</v>
      </c>
      <c r="AF61" s="71"/>
    </row>
    <row r="62" spans="2:32" s="22" customFormat="1" ht="20.55" customHeight="1" x14ac:dyDescent="0.6">
      <c r="B62" s="28">
        <v>4</v>
      </c>
      <c r="C62" s="79"/>
      <c r="D62" s="79"/>
      <c r="E62" s="79"/>
      <c r="F62" s="262"/>
      <c r="G62" s="262"/>
      <c r="H62" s="261"/>
      <c r="I62" s="67"/>
      <c r="J62" s="117"/>
      <c r="K62" s="93"/>
      <c r="L62" s="94"/>
      <c r="M62" s="87">
        <f t="shared" si="5"/>
        <v>0</v>
      </c>
      <c r="N62" s="88"/>
      <c r="O62" s="264"/>
      <c r="P62" s="265" t="s">
        <v>89</v>
      </c>
      <c r="Q62" s="60"/>
      <c r="R62" s="263"/>
      <c r="S62" s="76"/>
      <c r="T62" s="77"/>
      <c r="U62" s="77"/>
      <c r="V62" s="77"/>
      <c r="W62" s="77"/>
      <c r="X62" s="77"/>
      <c r="Y62" s="78"/>
      <c r="Z62" s="3"/>
      <c r="AA62" s="3"/>
      <c r="AB62" s="3"/>
      <c r="AC62" s="70">
        <f t="shared" si="6"/>
        <v>0</v>
      </c>
      <c r="AD62" s="70"/>
      <c r="AE62" s="71">
        <f t="shared" si="4"/>
        <v>0</v>
      </c>
      <c r="AF62" s="71"/>
    </row>
    <row r="63" spans="2:32" s="22" customFormat="1" ht="20.55" customHeight="1" x14ac:dyDescent="0.6">
      <c r="B63" s="28">
        <v>5</v>
      </c>
      <c r="C63" s="79"/>
      <c r="D63" s="79"/>
      <c r="E63" s="79"/>
      <c r="F63" s="262"/>
      <c r="G63" s="262"/>
      <c r="H63" s="261"/>
      <c r="I63" s="67"/>
      <c r="J63" s="117"/>
      <c r="K63" s="93"/>
      <c r="L63" s="94"/>
      <c r="M63" s="87">
        <f t="shared" si="5"/>
        <v>0</v>
      </c>
      <c r="N63" s="88"/>
      <c r="O63" s="264"/>
      <c r="P63" s="265" t="s">
        <v>89</v>
      </c>
      <c r="Q63" s="60"/>
      <c r="R63" s="263"/>
      <c r="S63" s="76"/>
      <c r="T63" s="77"/>
      <c r="U63" s="77"/>
      <c r="V63" s="77"/>
      <c r="W63" s="77"/>
      <c r="X63" s="77"/>
      <c r="Y63" s="78"/>
      <c r="Z63" s="3"/>
      <c r="AA63" s="3"/>
      <c r="AB63" s="3"/>
      <c r="AC63" s="70">
        <f t="shared" si="6"/>
        <v>0</v>
      </c>
      <c r="AD63" s="70"/>
      <c r="AE63" s="71">
        <f t="shared" si="4"/>
        <v>0</v>
      </c>
      <c r="AF63" s="71"/>
    </row>
    <row r="64" spans="2:32" s="22" customFormat="1" ht="20.55" customHeight="1" x14ac:dyDescent="0.6">
      <c r="B64" s="28">
        <v>6</v>
      </c>
      <c r="C64" s="79"/>
      <c r="D64" s="79"/>
      <c r="E64" s="79"/>
      <c r="F64" s="262"/>
      <c r="G64" s="262"/>
      <c r="H64" s="261"/>
      <c r="I64" s="67"/>
      <c r="J64" s="117"/>
      <c r="K64" s="93"/>
      <c r="L64" s="94"/>
      <c r="M64" s="87">
        <f t="shared" si="5"/>
        <v>0</v>
      </c>
      <c r="N64" s="88"/>
      <c r="O64" s="264"/>
      <c r="P64" s="265" t="s">
        <v>89</v>
      </c>
      <c r="Q64" s="60"/>
      <c r="R64" s="263"/>
      <c r="S64" s="76"/>
      <c r="T64" s="77"/>
      <c r="U64" s="77"/>
      <c r="V64" s="77"/>
      <c r="W64" s="77"/>
      <c r="X64" s="77"/>
      <c r="Y64" s="78"/>
      <c r="Z64" s="3"/>
      <c r="AA64" s="3"/>
      <c r="AB64" s="3"/>
      <c r="AC64" s="70">
        <f t="shared" si="6"/>
        <v>0</v>
      </c>
      <c r="AD64" s="70"/>
      <c r="AE64" s="71">
        <f t="shared" si="4"/>
        <v>0</v>
      </c>
      <c r="AF64" s="71"/>
    </row>
    <row r="65" spans="2:32" s="22" customFormat="1" ht="20.55" customHeight="1" x14ac:dyDescent="0.6">
      <c r="B65" s="28">
        <v>7</v>
      </c>
      <c r="C65" s="79"/>
      <c r="D65" s="79"/>
      <c r="E65" s="79"/>
      <c r="F65" s="262"/>
      <c r="G65" s="262"/>
      <c r="H65" s="261"/>
      <c r="I65" s="67"/>
      <c r="J65" s="117"/>
      <c r="K65" s="93"/>
      <c r="L65" s="94"/>
      <c r="M65" s="87">
        <f t="shared" si="5"/>
        <v>0</v>
      </c>
      <c r="N65" s="88"/>
      <c r="O65" s="264"/>
      <c r="P65" s="265" t="s">
        <v>89</v>
      </c>
      <c r="Q65" s="60"/>
      <c r="R65" s="263"/>
      <c r="S65" s="76"/>
      <c r="T65" s="77"/>
      <c r="U65" s="77"/>
      <c r="V65" s="77"/>
      <c r="W65" s="77"/>
      <c r="X65" s="77"/>
      <c r="Y65" s="78"/>
      <c r="Z65" s="3"/>
      <c r="AA65" s="3"/>
      <c r="AB65" s="3"/>
      <c r="AC65" s="70">
        <f t="shared" si="6"/>
        <v>0</v>
      </c>
      <c r="AD65" s="70"/>
      <c r="AE65" s="71">
        <f t="shared" si="4"/>
        <v>0</v>
      </c>
      <c r="AF65" s="71"/>
    </row>
    <row r="66" spans="2:32" s="22" customFormat="1" ht="20.55" customHeight="1" x14ac:dyDescent="0.6">
      <c r="B66" s="28">
        <v>8</v>
      </c>
      <c r="C66" s="79"/>
      <c r="D66" s="79"/>
      <c r="E66" s="79"/>
      <c r="F66" s="262"/>
      <c r="G66" s="262"/>
      <c r="H66" s="261"/>
      <c r="I66" s="67"/>
      <c r="J66" s="117"/>
      <c r="K66" s="93"/>
      <c r="L66" s="94"/>
      <c r="M66" s="87">
        <f t="shared" si="5"/>
        <v>0</v>
      </c>
      <c r="N66" s="88"/>
      <c r="O66" s="264"/>
      <c r="P66" s="265">
        <v>45782</v>
      </c>
      <c r="Q66" s="60"/>
      <c r="R66" s="263"/>
      <c r="S66" s="76"/>
      <c r="T66" s="77"/>
      <c r="U66" s="77"/>
      <c r="V66" s="77"/>
      <c r="W66" s="77"/>
      <c r="X66" s="77"/>
      <c r="Y66" s="78"/>
      <c r="Z66" s="3"/>
      <c r="AA66" s="3"/>
      <c r="AB66" s="3"/>
      <c r="AC66" s="70">
        <f t="shared" si="6"/>
        <v>0</v>
      </c>
      <c r="AD66" s="70"/>
      <c r="AE66" s="71">
        <f t="shared" si="4"/>
        <v>0</v>
      </c>
      <c r="AF66" s="71"/>
    </row>
    <row r="67" spans="2:32" s="22" customFormat="1" ht="20.55" customHeight="1" x14ac:dyDescent="0.6">
      <c r="B67" s="28">
        <v>9</v>
      </c>
      <c r="C67" s="79"/>
      <c r="D67" s="79"/>
      <c r="E67" s="79"/>
      <c r="F67" s="262"/>
      <c r="G67" s="262"/>
      <c r="H67" s="261"/>
      <c r="I67" s="67"/>
      <c r="J67" s="117"/>
      <c r="K67" s="93"/>
      <c r="L67" s="94"/>
      <c r="M67" s="87">
        <f t="shared" si="5"/>
        <v>0</v>
      </c>
      <c r="N67" s="88"/>
      <c r="O67" s="264"/>
      <c r="P67" s="265">
        <v>46054</v>
      </c>
      <c r="Q67" s="60"/>
      <c r="R67" s="263"/>
      <c r="S67" s="76"/>
      <c r="T67" s="77"/>
      <c r="U67" s="77"/>
      <c r="V67" s="77"/>
      <c r="W67" s="77"/>
      <c r="X67" s="77"/>
      <c r="Y67" s="78"/>
      <c r="Z67" s="3"/>
      <c r="AA67" s="3"/>
      <c r="AB67" s="3"/>
      <c r="AC67" s="70">
        <f t="shared" si="6"/>
        <v>0</v>
      </c>
      <c r="AD67" s="70"/>
      <c r="AE67" s="71">
        <f t="shared" si="4"/>
        <v>0</v>
      </c>
      <c r="AF67" s="71"/>
    </row>
    <row r="68" spans="2:32" s="22" customFormat="1" ht="20.55" customHeight="1" x14ac:dyDescent="0.6">
      <c r="B68" s="28">
        <v>10</v>
      </c>
      <c r="C68" s="79"/>
      <c r="D68" s="79"/>
      <c r="E68" s="79"/>
      <c r="F68" s="262"/>
      <c r="G68" s="262"/>
      <c r="H68" s="261"/>
      <c r="I68" s="67"/>
      <c r="J68" s="117"/>
      <c r="K68" s="93"/>
      <c r="L68" s="94"/>
      <c r="M68" s="87">
        <f t="shared" si="5"/>
        <v>0</v>
      </c>
      <c r="N68" s="88"/>
      <c r="O68" s="264"/>
      <c r="P68" s="265">
        <v>45782</v>
      </c>
      <c r="Q68" s="60"/>
      <c r="R68" s="263"/>
      <c r="S68" s="76"/>
      <c r="T68" s="77"/>
      <c r="U68" s="77"/>
      <c r="V68" s="77"/>
      <c r="W68" s="77"/>
      <c r="X68" s="77"/>
      <c r="Y68" s="78"/>
      <c r="Z68" s="3"/>
      <c r="AA68" s="3"/>
      <c r="AB68" s="3"/>
      <c r="AC68" s="70">
        <f t="shared" si="6"/>
        <v>0</v>
      </c>
      <c r="AD68" s="70"/>
      <c r="AE68" s="71">
        <f t="shared" si="4"/>
        <v>0</v>
      </c>
      <c r="AF68" s="71"/>
    </row>
    <row r="69" spans="2:32" s="22" customFormat="1" ht="20.55" customHeight="1" x14ac:dyDescent="0.6">
      <c r="B69" s="28">
        <v>11</v>
      </c>
      <c r="C69" s="79"/>
      <c r="D69" s="79"/>
      <c r="E69" s="79"/>
      <c r="F69" s="262"/>
      <c r="G69" s="262"/>
      <c r="H69" s="261"/>
      <c r="I69" s="67"/>
      <c r="J69" s="117"/>
      <c r="K69" s="93"/>
      <c r="L69" s="94"/>
      <c r="M69" s="87">
        <f t="shared" si="5"/>
        <v>0</v>
      </c>
      <c r="N69" s="88"/>
      <c r="O69" s="264"/>
      <c r="P69" s="265">
        <v>46054</v>
      </c>
      <c r="Q69" s="60"/>
      <c r="R69" s="263"/>
      <c r="S69" s="76"/>
      <c r="T69" s="77"/>
      <c r="U69" s="77"/>
      <c r="V69" s="77"/>
      <c r="W69" s="77"/>
      <c r="X69" s="77"/>
      <c r="Y69" s="78"/>
      <c r="Z69" s="3"/>
      <c r="AA69" s="3"/>
      <c r="AB69" s="3"/>
      <c r="AC69" s="70">
        <f t="shared" si="6"/>
        <v>0</v>
      </c>
      <c r="AD69" s="70"/>
      <c r="AE69" s="71">
        <f t="shared" si="4"/>
        <v>0</v>
      </c>
      <c r="AF69" s="71"/>
    </row>
    <row r="70" spans="2:32" s="22" customFormat="1" ht="20.55" customHeight="1" x14ac:dyDescent="0.6">
      <c r="B70" s="28">
        <v>12</v>
      </c>
      <c r="C70" s="79"/>
      <c r="D70" s="79"/>
      <c r="E70" s="79"/>
      <c r="F70" s="262"/>
      <c r="G70" s="262"/>
      <c r="H70" s="261"/>
      <c r="I70" s="67"/>
      <c r="J70" s="117"/>
      <c r="K70" s="93"/>
      <c r="L70" s="94"/>
      <c r="M70" s="87">
        <f t="shared" si="5"/>
        <v>0</v>
      </c>
      <c r="N70" s="88"/>
      <c r="O70" s="264"/>
      <c r="P70" s="265"/>
      <c r="Q70" s="60"/>
      <c r="R70" s="263"/>
      <c r="S70" s="76"/>
      <c r="T70" s="77"/>
      <c r="U70" s="77"/>
      <c r="V70" s="77"/>
      <c r="W70" s="77"/>
      <c r="X70" s="77"/>
      <c r="Y70" s="78"/>
      <c r="Z70" s="3"/>
      <c r="AA70" s="3"/>
      <c r="AB70" s="3"/>
      <c r="AC70" s="70">
        <f t="shared" si="6"/>
        <v>0</v>
      </c>
      <c r="AD70" s="70"/>
      <c r="AE70" s="71">
        <f t="shared" si="4"/>
        <v>0</v>
      </c>
      <c r="AF70" s="71"/>
    </row>
    <row r="71" spans="2:32" s="22" customFormat="1" ht="20.55" customHeight="1" x14ac:dyDescent="0.6">
      <c r="B71" s="28">
        <v>13</v>
      </c>
      <c r="C71" s="79"/>
      <c r="D71" s="79"/>
      <c r="E71" s="79"/>
      <c r="F71" s="262"/>
      <c r="G71" s="262"/>
      <c r="H71" s="261"/>
      <c r="I71" s="67"/>
      <c r="J71" s="117"/>
      <c r="K71" s="93"/>
      <c r="L71" s="94"/>
      <c r="M71" s="87">
        <f t="shared" si="5"/>
        <v>0</v>
      </c>
      <c r="N71" s="88"/>
      <c r="O71" s="264"/>
      <c r="P71" s="265"/>
      <c r="Q71" s="60"/>
      <c r="R71" s="263"/>
      <c r="S71" s="76"/>
      <c r="T71" s="77"/>
      <c r="U71" s="77"/>
      <c r="V71" s="77"/>
      <c r="W71" s="77"/>
      <c r="X71" s="77"/>
      <c r="Y71" s="78"/>
      <c r="Z71" s="3"/>
      <c r="AA71" s="3"/>
      <c r="AB71" s="3"/>
      <c r="AC71" s="70">
        <f t="shared" si="6"/>
        <v>0</v>
      </c>
      <c r="AD71" s="70"/>
      <c r="AE71" s="71">
        <f t="shared" si="4"/>
        <v>0</v>
      </c>
      <c r="AF71" s="71"/>
    </row>
    <row r="72" spans="2:32" s="22" customFormat="1" ht="20.55" customHeight="1" x14ac:dyDescent="0.6">
      <c r="B72" s="28">
        <v>14</v>
      </c>
      <c r="C72" s="79"/>
      <c r="D72" s="79"/>
      <c r="E72" s="79"/>
      <c r="F72" s="262"/>
      <c r="G72" s="262"/>
      <c r="H72" s="261"/>
      <c r="I72" s="67"/>
      <c r="J72" s="117"/>
      <c r="K72" s="93"/>
      <c r="L72" s="94"/>
      <c r="M72" s="87">
        <f t="shared" si="5"/>
        <v>0</v>
      </c>
      <c r="N72" s="88"/>
      <c r="O72" s="264"/>
      <c r="P72" s="265"/>
      <c r="Q72" s="60"/>
      <c r="R72" s="263"/>
      <c r="S72" s="76"/>
      <c r="T72" s="77"/>
      <c r="U72" s="77"/>
      <c r="V72" s="77"/>
      <c r="W72" s="77"/>
      <c r="X72" s="77"/>
      <c r="Y72" s="78"/>
      <c r="Z72" s="3"/>
      <c r="AA72" s="3"/>
      <c r="AB72" s="3"/>
      <c r="AC72" s="70">
        <f t="shared" si="6"/>
        <v>0</v>
      </c>
      <c r="AD72" s="70"/>
      <c r="AE72" s="71">
        <f t="shared" si="4"/>
        <v>0</v>
      </c>
      <c r="AF72" s="71"/>
    </row>
    <row r="73" spans="2:32" s="22" customFormat="1" ht="20.55" customHeight="1" x14ac:dyDescent="0.6">
      <c r="B73" s="28">
        <v>15</v>
      </c>
      <c r="C73" s="79"/>
      <c r="D73" s="79"/>
      <c r="E73" s="79"/>
      <c r="F73" s="262"/>
      <c r="G73" s="262"/>
      <c r="H73" s="261"/>
      <c r="I73" s="67"/>
      <c r="J73" s="118"/>
      <c r="K73" s="93"/>
      <c r="L73" s="94"/>
      <c r="M73" s="87">
        <f t="shared" si="5"/>
        <v>0</v>
      </c>
      <c r="N73" s="88"/>
      <c r="O73" s="264"/>
      <c r="P73" s="265"/>
      <c r="Q73" s="60"/>
      <c r="R73" s="263"/>
      <c r="S73" s="76"/>
      <c r="T73" s="77"/>
      <c r="U73" s="77"/>
      <c r="V73" s="77"/>
      <c r="W73" s="77"/>
      <c r="X73" s="77"/>
      <c r="Y73" s="78"/>
      <c r="Z73" s="3"/>
      <c r="AA73" s="3"/>
      <c r="AB73" s="3"/>
      <c r="AC73" s="70">
        <f t="shared" si="6"/>
        <v>0</v>
      </c>
      <c r="AD73" s="70"/>
      <c r="AE73" s="71">
        <f t="shared" si="4"/>
        <v>0</v>
      </c>
      <c r="AF73" s="71"/>
    </row>
    <row r="74" spans="2:32" ht="26.4" x14ac:dyDescent="0.6">
      <c r="B74" s="10"/>
      <c r="C74" s="146"/>
      <c r="D74" s="146"/>
      <c r="E74" s="146"/>
      <c r="F74" s="146"/>
      <c r="G74" s="146"/>
      <c r="H74" s="146"/>
      <c r="J74" s="61"/>
      <c r="K74" s="122">
        <f>SUM(K59*I59)+(K60*I60)+(K61*I61)+(K62*I62)+(K63*I63)+(K64*I64)+(K65*I65)+(K66*I66)+(K67*I67)+(K68*I68)+(K69*I69)+(K70*I70)+(K71*I71)+(K72*I72)+(K73*I73)</f>
        <v>0</v>
      </c>
      <c r="L74" s="122"/>
      <c r="M74" s="123">
        <f>SUM(M59:N73)</f>
        <v>0</v>
      </c>
      <c r="N74" s="123"/>
      <c r="O74" s="59"/>
      <c r="P74" s="59"/>
      <c r="Q74" s="121"/>
      <c r="R74" s="121"/>
      <c r="S74" s="145"/>
      <c r="T74" s="145"/>
      <c r="U74" s="11"/>
      <c r="V74" s="9"/>
      <c r="Z74" s="62"/>
      <c r="AC74" s="241">
        <f>SUM(AC59*AE59)+(AC60*AE60)+(AC61*AE61)+(AC62*AE62)+(AC63*AE63)+(AC64*AE64)+(AC65*AE65)+(AC66*AE66)+(AC67*AE67)+(AC68*AE68)+(AC69*AE69)+(AC70*AE70)+(AC71*AE71)+(AC72*AE72)+(AC73*AE73)</f>
        <v>0</v>
      </c>
      <c r="AD74" s="241"/>
      <c r="AE74" s="239">
        <f>SUM(AE59:AF73)</f>
        <v>0</v>
      </c>
      <c r="AF74" s="239"/>
    </row>
    <row r="75" spans="2:32" ht="26.4" x14ac:dyDescent="0.6">
      <c r="B75" s="10"/>
      <c r="C75" s="10"/>
      <c r="D75" s="10"/>
      <c r="E75" s="10"/>
      <c r="F75" s="10"/>
      <c r="G75" s="10"/>
      <c r="H75" s="10"/>
      <c r="N75" s="42"/>
      <c r="O75" s="42"/>
      <c r="P75" s="42"/>
      <c r="Q75" s="43"/>
      <c r="R75" s="43"/>
      <c r="S75" s="41"/>
      <c r="T75" s="41"/>
      <c r="U75" s="11"/>
      <c r="V75" s="9"/>
      <c r="Z75" s="62"/>
    </row>
    <row r="76" spans="2:32" ht="20.399999999999999" x14ac:dyDescent="0.6">
      <c r="B76" s="243" t="s">
        <v>90</v>
      </c>
      <c r="C76" s="243"/>
      <c r="D76" s="243"/>
      <c r="E76" s="243"/>
      <c r="Z76" s="62"/>
    </row>
    <row r="77" spans="2:32" ht="17.55" customHeight="1" x14ac:dyDescent="0.6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62"/>
    </row>
    <row r="78" spans="2:32" ht="17.55" customHeight="1" x14ac:dyDescent="0.6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62"/>
    </row>
    <row r="82" spans="2:20" ht="20.399999999999999" x14ac:dyDescent="0.6">
      <c r="B82" s="114" t="s">
        <v>91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</row>
    <row r="83" spans="2:20" ht="20.399999999999999" x14ac:dyDescent="0.6">
      <c r="B83" s="73" t="s">
        <v>92</v>
      </c>
      <c r="C83" s="86"/>
      <c r="D83" s="86"/>
      <c r="E83" s="86"/>
      <c r="F83" s="74"/>
      <c r="G83" s="73" t="s">
        <v>93</v>
      </c>
      <c r="H83" s="86"/>
      <c r="I83" s="74"/>
      <c r="J83" s="35" t="s">
        <v>87</v>
      </c>
      <c r="K83" s="73" t="s">
        <v>79</v>
      </c>
      <c r="L83" s="86"/>
      <c r="M83" s="74"/>
      <c r="N83" s="73" t="s">
        <v>94</v>
      </c>
      <c r="O83" s="86"/>
      <c r="P83" s="74"/>
      <c r="Q83" s="35" t="s">
        <v>83</v>
      </c>
    </row>
    <row r="84" spans="2:20" ht="20.399999999999999" x14ac:dyDescent="0.6">
      <c r="B84" s="39">
        <v>1</v>
      </c>
      <c r="C84" s="220"/>
      <c r="D84" s="220"/>
      <c r="E84" s="220"/>
      <c r="F84" s="220"/>
      <c r="G84" s="221"/>
      <c r="H84" s="222"/>
      <c r="I84" s="223"/>
      <c r="J84" s="34"/>
      <c r="K84" s="225" t="s">
        <v>24</v>
      </c>
      <c r="L84" s="226"/>
      <c r="M84" s="227"/>
      <c r="N84" s="236"/>
      <c r="O84" s="237"/>
      <c r="P84" s="238"/>
      <c r="Q84" s="69"/>
    </row>
    <row r="85" spans="2:20" ht="20.399999999999999" x14ac:dyDescent="0.6">
      <c r="B85" s="39">
        <v>2</v>
      </c>
      <c r="C85" s="220"/>
      <c r="D85" s="220"/>
      <c r="E85" s="220"/>
      <c r="F85" s="220"/>
      <c r="G85" s="221"/>
      <c r="H85" s="222"/>
      <c r="I85" s="223"/>
      <c r="J85" s="30"/>
      <c r="K85" s="228"/>
      <c r="L85" s="229"/>
      <c r="M85" s="230"/>
      <c r="N85" s="236"/>
      <c r="O85" s="237"/>
      <c r="P85" s="238"/>
      <c r="Q85" s="69"/>
    </row>
    <row r="86" spans="2:20" ht="20.399999999999999" x14ac:dyDescent="0.6">
      <c r="B86" s="39">
        <v>3</v>
      </c>
      <c r="C86" s="220"/>
      <c r="D86" s="220"/>
      <c r="E86" s="220"/>
      <c r="F86" s="220"/>
      <c r="G86" s="221"/>
      <c r="H86" s="222"/>
      <c r="I86" s="223"/>
      <c r="J86" s="30"/>
      <c r="K86" s="228"/>
      <c r="L86" s="229"/>
      <c r="M86" s="230"/>
      <c r="N86" s="217"/>
      <c r="O86" s="218"/>
      <c r="P86" s="219"/>
      <c r="Q86" s="69"/>
    </row>
    <row r="87" spans="2:20" ht="20.399999999999999" x14ac:dyDescent="0.6">
      <c r="B87" s="39">
        <v>4</v>
      </c>
      <c r="C87" s="220"/>
      <c r="D87" s="220"/>
      <c r="E87" s="220"/>
      <c r="F87" s="220"/>
      <c r="G87" s="221"/>
      <c r="H87" s="222"/>
      <c r="I87" s="223"/>
      <c r="J87" s="30"/>
      <c r="K87" s="228"/>
      <c r="L87" s="229"/>
      <c r="M87" s="230"/>
      <c r="N87" s="217"/>
      <c r="O87" s="218"/>
      <c r="P87" s="219"/>
      <c r="Q87" s="69"/>
    </row>
    <row r="88" spans="2:20" ht="20.399999999999999" x14ac:dyDescent="0.6">
      <c r="B88" s="39">
        <v>5</v>
      </c>
      <c r="C88" s="220"/>
      <c r="D88" s="220"/>
      <c r="E88" s="220"/>
      <c r="F88" s="220"/>
      <c r="G88" s="221"/>
      <c r="H88" s="222"/>
      <c r="I88" s="223"/>
      <c r="J88" s="30"/>
      <c r="K88" s="228"/>
      <c r="L88" s="229"/>
      <c r="M88" s="230"/>
      <c r="N88" s="217"/>
      <c r="O88" s="218"/>
      <c r="P88" s="219"/>
      <c r="Q88" s="69"/>
    </row>
    <row r="89" spans="2:20" ht="20.399999999999999" x14ac:dyDescent="0.6">
      <c r="B89" s="39">
        <v>6</v>
      </c>
      <c r="C89" s="220"/>
      <c r="D89" s="220"/>
      <c r="E89" s="220"/>
      <c r="F89" s="220"/>
      <c r="G89" s="221"/>
      <c r="H89" s="222"/>
      <c r="I89" s="223"/>
      <c r="J89" s="30"/>
      <c r="K89" s="228"/>
      <c r="L89" s="229"/>
      <c r="M89" s="230"/>
      <c r="N89" s="217"/>
      <c r="O89" s="218"/>
      <c r="P89" s="219"/>
      <c r="Q89" s="69"/>
    </row>
    <row r="90" spans="2:20" ht="20.399999999999999" x14ac:dyDescent="0.6">
      <c r="B90" s="39">
        <v>7</v>
      </c>
      <c r="C90" s="220"/>
      <c r="D90" s="220"/>
      <c r="E90" s="220"/>
      <c r="F90" s="220"/>
      <c r="G90" s="221"/>
      <c r="H90" s="222"/>
      <c r="I90" s="223"/>
      <c r="J90" s="30"/>
      <c r="K90" s="228"/>
      <c r="L90" s="229"/>
      <c r="M90" s="230"/>
      <c r="N90" s="217"/>
      <c r="O90" s="218"/>
      <c r="P90" s="219"/>
      <c r="Q90" s="69"/>
    </row>
    <row r="91" spans="2:20" ht="20.399999999999999" x14ac:dyDescent="0.6">
      <c r="B91" s="39">
        <v>8</v>
      </c>
      <c r="C91" s="220"/>
      <c r="D91" s="220"/>
      <c r="E91" s="220"/>
      <c r="F91" s="220"/>
      <c r="G91" s="221"/>
      <c r="H91" s="222"/>
      <c r="I91" s="223"/>
      <c r="J91" s="30"/>
      <c r="K91" s="228"/>
      <c r="L91" s="229"/>
      <c r="M91" s="230"/>
      <c r="N91" s="217"/>
      <c r="O91" s="218"/>
      <c r="P91" s="219"/>
      <c r="Q91" s="69"/>
    </row>
    <row r="92" spans="2:20" ht="20.399999999999999" x14ac:dyDescent="0.6">
      <c r="B92" s="39">
        <v>9</v>
      </c>
      <c r="C92" s="220"/>
      <c r="D92" s="220"/>
      <c r="E92" s="220"/>
      <c r="F92" s="220"/>
      <c r="G92" s="221"/>
      <c r="H92" s="222"/>
      <c r="I92" s="223"/>
      <c r="J92" s="30"/>
      <c r="K92" s="228"/>
      <c r="L92" s="229"/>
      <c r="M92" s="230"/>
      <c r="N92" s="217"/>
      <c r="O92" s="218"/>
      <c r="P92" s="219"/>
      <c r="Q92" s="69"/>
    </row>
    <row r="93" spans="2:20" ht="20.399999999999999" x14ac:dyDescent="0.6">
      <c r="B93" s="39">
        <v>10</v>
      </c>
      <c r="C93" s="220"/>
      <c r="D93" s="220"/>
      <c r="E93" s="220"/>
      <c r="F93" s="220"/>
      <c r="G93" s="221"/>
      <c r="H93" s="222"/>
      <c r="I93" s="223"/>
      <c r="J93" s="30"/>
      <c r="K93" s="228"/>
      <c r="L93" s="229"/>
      <c r="M93" s="230"/>
      <c r="N93" s="217"/>
      <c r="O93" s="218"/>
      <c r="P93" s="219"/>
      <c r="Q93" s="69"/>
    </row>
    <row r="94" spans="2:20" ht="20.399999999999999" x14ac:dyDescent="0.6">
      <c r="B94" s="39">
        <v>11</v>
      </c>
      <c r="C94" s="220"/>
      <c r="D94" s="220"/>
      <c r="E94" s="220"/>
      <c r="F94" s="220"/>
      <c r="G94" s="221"/>
      <c r="H94" s="222"/>
      <c r="I94" s="223"/>
      <c r="J94" s="30"/>
      <c r="K94" s="228"/>
      <c r="L94" s="229"/>
      <c r="M94" s="230"/>
      <c r="N94" s="217"/>
      <c r="O94" s="218"/>
      <c r="P94" s="219"/>
      <c r="Q94" s="69"/>
    </row>
    <row r="95" spans="2:20" ht="20.399999999999999" x14ac:dyDescent="0.6">
      <c r="B95" s="39">
        <v>12</v>
      </c>
      <c r="C95" s="220"/>
      <c r="D95" s="220"/>
      <c r="E95" s="220"/>
      <c r="F95" s="220"/>
      <c r="G95" s="221"/>
      <c r="H95" s="222"/>
      <c r="I95" s="223"/>
      <c r="J95" s="30"/>
      <c r="K95" s="231"/>
      <c r="L95" s="232"/>
      <c r="M95" s="233"/>
      <c r="N95" s="217"/>
      <c r="O95" s="218"/>
      <c r="P95" s="219"/>
      <c r="Q95" s="69"/>
    </row>
    <row r="96" spans="2:20" ht="25.95" customHeight="1" x14ac:dyDescent="0.6">
      <c r="B96" s="10"/>
      <c r="C96" s="234"/>
      <c r="D96" s="234"/>
      <c r="E96" s="234"/>
      <c r="F96" s="234"/>
      <c r="G96" s="234"/>
      <c r="H96" s="234"/>
      <c r="N96" s="224">
        <f>SUM(N84*J84)+(N85*J85)+(N86*J86)+(N87*J87)+(N88*J88)+(N89*J89)+(N90*J90)+(N91*J91)+(N92*J92)+(N93*J93)+(N94*J94)+(N95*J95)</f>
        <v>0</v>
      </c>
      <c r="O96" s="224"/>
      <c r="P96" s="224"/>
      <c r="Q96" s="235"/>
      <c r="R96" s="121"/>
      <c r="S96" s="145"/>
      <c r="T96" s="145"/>
    </row>
  </sheetData>
  <mergeCells count="321">
    <mergeCell ref="AE74:AF74"/>
    <mergeCell ref="L17:N17"/>
    <mergeCell ref="K12:O12"/>
    <mergeCell ref="K13:O13"/>
    <mergeCell ref="AC74:AD74"/>
    <mergeCell ref="AC57:AF57"/>
    <mergeCell ref="N92:P92"/>
    <mergeCell ref="B76:E76"/>
    <mergeCell ref="B82:Q82"/>
    <mergeCell ref="Y38:Z38"/>
    <mergeCell ref="Y39:Z39"/>
    <mergeCell ref="N39:P39"/>
    <mergeCell ref="N40:P40"/>
    <mergeCell ref="K39:M39"/>
    <mergeCell ref="K40:M40"/>
    <mergeCell ref="C41:H41"/>
    <mergeCell ref="I44:J44"/>
    <mergeCell ref="B44:H44"/>
    <mergeCell ref="K41:M41"/>
    <mergeCell ref="R42:X42"/>
    <mergeCell ref="N42:P42"/>
    <mergeCell ref="Y44:Z44"/>
    <mergeCell ref="K42:M42"/>
    <mergeCell ref="N41:P41"/>
    <mergeCell ref="C96:H96"/>
    <mergeCell ref="Q96:R96"/>
    <mergeCell ref="N84:P84"/>
    <mergeCell ref="N85:P85"/>
    <mergeCell ref="B83:F83"/>
    <mergeCell ref="G83:I83"/>
    <mergeCell ref="K83:M83"/>
    <mergeCell ref="C84:F84"/>
    <mergeCell ref="G84:I84"/>
    <mergeCell ref="C89:F89"/>
    <mergeCell ref="G89:I89"/>
    <mergeCell ref="C90:F90"/>
    <mergeCell ref="G90:I90"/>
    <mergeCell ref="C91:F91"/>
    <mergeCell ref="G91:I91"/>
    <mergeCell ref="N91:P91"/>
    <mergeCell ref="N83:P83"/>
    <mergeCell ref="N93:P93"/>
    <mergeCell ref="C92:F92"/>
    <mergeCell ref="G92:I92"/>
    <mergeCell ref="S96:T96"/>
    <mergeCell ref="N94:P94"/>
    <mergeCell ref="N95:P95"/>
    <mergeCell ref="C93:F93"/>
    <mergeCell ref="G93:I93"/>
    <mergeCell ref="C94:F94"/>
    <mergeCell ref="G94:I94"/>
    <mergeCell ref="N96:P96"/>
    <mergeCell ref="K84:M95"/>
    <mergeCell ref="C85:F85"/>
    <mergeCell ref="G85:I85"/>
    <mergeCell ref="C86:F86"/>
    <mergeCell ref="G86:I86"/>
    <mergeCell ref="C87:F87"/>
    <mergeCell ref="C95:F95"/>
    <mergeCell ref="G95:I95"/>
    <mergeCell ref="N90:P90"/>
    <mergeCell ref="N89:P89"/>
    <mergeCell ref="N88:P88"/>
    <mergeCell ref="N87:P87"/>
    <mergeCell ref="N86:P86"/>
    <mergeCell ref="G87:I87"/>
    <mergeCell ref="C88:F88"/>
    <mergeCell ref="G88:I88"/>
    <mergeCell ref="R40:X40"/>
    <mergeCell ref="Y40:Z40"/>
    <mergeCell ref="AA38:AB38"/>
    <mergeCell ref="AA39:AB39"/>
    <mergeCell ref="AA42:AB42"/>
    <mergeCell ref="R38:X38"/>
    <mergeCell ref="R39:X39"/>
    <mergeCell ref="R41:X41"/>
    <mergeCell ref="Y41:Z41"/>
    <mergeCell ref="R18:W18"/>
    <mergeCell ref="Q17:W17"/>
    <mergeCell ref="Q19:Q20"/>
    <mergeCell ref="R24:W25"/>
    <mergeCell ref="R23:W23"/>
    <mergeCell ref="Q28:W28"/>
    <mergeCell ref="R30:W30"/>
    <mergeCell ref="R36:X36"/>
    <mergeCell ref="Q31:W32"/>
    <mergeCell ref="Q24:Q25"/>
    <mergeCell ref="R29:W29"/>
    <mergeCell ref="Y36:Z36"/>
    <mergeCell ref="AA40:AB40"/>
    <mergeCell ref="Y37:Z37"/>
    <mergeCell ref="Q22:W22"/>
    <mergeCell ref="R19:W20"/>
    <mergeCell ref="R37:X37"/>
    <mergeCell ref="C14:H14"/>
    <mergeCell ref="D12:H12"/>
    <mergeCell ref="J15:O15"/>
    <mergeCell ref="D15:H15"/>
    <mergeCell ref="D16:E16"/>
    <mergeCell ref="G16:H16"/>
    <mergeCell ref="J16:O16"/>
    <mergeCell ref="K27:O27"/>
    <mergeCell ref="K24:O24"/>
    <mergeCell ref="G18:H18"/>
    <mergeCell ref="D17:H17"/>
    <mergeCell ref="D18:E18"/>
    <mergeCell ref="D24:H24"/>
    <mergeCell ref="D23:H23"/>
    <mergeCell ref="K23:O23"/>
    <mergeCell ref="C25:H25"/>
    <mergeCell ref="D22:H22"/>
    <mergeCell ref="C21:H21"/>
    <mergeCell ref="R11:W11"/>
    <mergeCell ref="R7:W7"/>
    <mergeCell ref="R8:W8"/>
    <mergeCell ref="D2:Q2"/>
    <mergeCell ref="D3:Q3"/>
    <mergeCell ref="S2:W2"/>
    <mergeCell ref="Q13:W13"/>
    <mergeCell ref="Q14:W14"/>
    <mergeCell ref="K11:O11"/>
    <mergeCell ref="D7:H7"/>
    <mergeCell ref="D8:H8"/>
    <mergeCell ref="D9:H9"/>
    <mergeCell ref="D10:H10"/>
    <mergeCell ref="R6:W6"/>
    <mergeCell ref="C6:H6"/>
    <mergeCell ref="J6:O6"/>
    <mergeCell ref="D11:H11"/>
    <mergeCell ref="K7:O7"/>
    <mergeCell ref="K8:O8"/>
    <mergeCell ref="K9:O9"/>
    <mergeCell ref="R10:W10"/>
    <mergeCell ref="K10:O10"/>
    <mergeCell ref="R3:W3"/>
    <mergeCell ref="S74:T74"/>
    <mergeCell ref="C74:H74"/>
    <mergeCell ref="I41:J41"/>
    <mergeCell ref="I42:J42"/>
    <mergeCell ref="C42:H42"/>
    <mergeCell ref="B46:G46"/>
    <mergeCell ref="D47:G47"/>
    <mergeCell ref="D48:G48"/>
    <mergeCell ref="B48:C48"/>
    <mergeCell ref="B51:C51"/>
    <mergeCell ref="B47:C47"/>
    <mergeCell ref="S67:Y67"/>
    <mergeCell ref="S68:Y68"/>
    <mergeCell ref="S69:Y69"/>
    <mergeCell ref="S70:Y70"/>
    <mergeCell ref="S71:Y71"/>
    <mergeCell ref="S72:Y72"/>
    <mergeCell ref="S73:Y73"/>
    <mergeCell ref="R51:X51"/>
    <mergeCell ref="D49:G49"/>
    <mergeCell ref="D50:G50"/>
    <mergeCell ref="B50:C50"/>
    <mergeCell ref="B49:C49"/>
    <mergeCell ref="F63:G63"/>
    <mergeCell ref="C66:E66"/>
    <mergeCell ref="C67:E67"/>
    <mergeCell ref="F69:G69"/>
    <mergeCell ref="F70:G70"/>
    <mergeCell ref="K63:L63"/>
    <mergeCell ref="C61:E61"/>
    <mergeCell ref="C60:E60"/>
    <mergeCell ref="C59:E59"/>
    <mergeCell ref="M64:N64"/>
    <mergeCell ref="K65:L65"/>
    <mergeCell ref="K66:L66"/>
    <mergeCell ref="M66:N66"/>
    <mergeCell ref="F66:G66"/>
    <mergeCell ref="C68:E68"/>
    <mergeCell ref="AA44:AB44"/>
    <mergeCell ref="AA41:AB41"/>
    <mergeCell ref="Y51:Z51"/>
    <mergeCell ref="AA51:AB51"/>
    <mergeCell ref="Y42:Z42"/>
    <mergeCell ref="N44:P44"/>
    <mergeCell ref="K44:M44"/>
    <mergeCell ref="R44:X44"/>
    <mergeCell ref="F65:G65"/>
    <mergeCell ref="O64:P64"/>
    <mergeCell ref="D51:G51"/>
    <mergeCell ref="I51:P51"/>
    <mergeCell ref="M58:N58"/>
    <mergeCell ref="M59:N59"/>
    <mergeCell ref="K59:L59"/>
    <mergeCell ref="K60:L60"/>
    <mergeCell ref="K61:L61"/>
    <mergeCell ref="K62:L62"/>
    <mergeCell ref="O58:P58"/>
    <mergeCell ref="O60:P60"/>
    <mergeCell ref="O61:P61"/>
    <mergeCell ref="O62:P62"/>
    <mergeCell ref="K58:L58"/>
    <mergeCell ref="Q74:R74"/>
    <mergeCell ref="F71:G71"/>
    <mergeCell ref="F72:G72"/>
    <mergeCell ref="F73:G73"/>
    <mergeCell ref="C69:E69"/>
    <mergeCell ref="C70:E70"/>
    <mergeCell ref="C71:E71"/>
    <mergeCell ref="C72:E72"/>
    <mergeCell ref="C73:E73"/>
    <mergeCell ref="K71:L71"/>
    <mergeCell ref="K72:L72"/>
    <mergeCell ref="K74:L74"/>
    <mergeCell ref="M74:N74"/>
    <mergeCell ref="K73:L73"/>
    <mergeCell ref="O69:P69"/>
    <mergeCell ref="O70:P70"/>
    <mergeCell ref="O71:P71"/>
    <mergeCell ref="O72:P72"/>
    <mergeCell ref="O73:P73"/>
    <mergeCell ref="M72:N72"/>
    <mergeCell ref="K69:L69"/>
    <mergeCell ref="K70:L70"/>
    <mergeCell ref="M73:N73"/>
    <mergeCell ref="C26:H27"/>
    <mergeCell ref="B58:E58"/>
    <mergeCell ref="C62:E62"/>
    <mergeCell ref="C63:E63"/>
    <mergeCell ref="C64:E64"/>
    <mergeCell ref="C65:E65"/>
    <mergeCell ref="F62:G62"/>
    <mergeCell ref="C39:H39"/>
    <mergeCell ref="C37:H37"/>
    <mergeCell ref="C40:H40"/>
    <mergeCell ref="C38:H38"/>
    <mergeCell ref="B36:H36"/>
    <mergeCell ref="B35:AB35"/>
    <mergeCell ref="AA36:AB36"/>
    <mergeCell ref="AA37:AB37"/>
    <mergeCell ref="I40:J40"/>
    <mergeCell ref="O59:P59"/>
    <mergeCell ref="F59:G59"/>
    <mergeCell ref="F60:G60"/>
    <mergeCell ref="F61:G61"/>
    <mergeCell ref="K64:L64"/>
    <mergeCell ref="J59:J73"/>
    <mergeCell ref="F64:G64"/>
    <mergeCell ref="I36:J36"/>
    <mergeCell ref="L18:N18"/>
    <mergeCell ref="J22:O22"/>
    <mergeCell ref="K67:L67"/>
    <mergeCell ref="K26:O26"/>
    <mergeCell ref="K25:O25"/>
    <mergeCell ref="M68:N68"/>
    <mergeCell ref="M69:N69"/>
    <mergeCell ref="M70:N70"/>
    <mergeCell ref="M71:N71"/>
    <mergeCell ref="K36:M36"/>
    <mergeCell ref="I39:J39"/>
    <mergeCell ref="I37:J37"/>
    <mergeCell ref="K38:M38"/>
    <mergeCell ref="K37:M37"/>
    <mergeCell ref="N36:P36"/>
    <mergeCell ref="N37:P37"/>
    <mergeCell ref="N38:P38"/>
    <mergeCell ref="I38:J38"/>
    <mergeCell ref="M67:N67"/>
    <mergeCell ref="O68:P68"/>
    <mergeCell ref="K68:L68"/>
    <mergeCell ref="O66:P66"/>
    <mergeCell ref="O67:P67"/>
    <mergeCell ref="M65:N65"/>
    <mergeCell ref="B52:C52"/>
    <mergeCell ref="D52:G52"/>
    <mergeCell ref="B57:Y57"/>
    <mergeCell ref="S58:Y58"/>
    <mergeCell ref="S59:Y59"/>
    <mergeCell ref="S60:Y60"/>
    <mergeCell ref="S61:Y61"/>
    <mergeCell ref="S62:Y62"/>
    <mergeCell ref="S63:Y63"/>
    <mergeCell ref="M60:N60"/>
    <mergeCell ref="M61:N61"/>
    <mergeCell ref="M62:N62"/>
    <mergeCell ref="M63:N63"/>
    <mergeCell ref="O63:P63"/>
    <mergeCell ref="B77:Y78"/>
    <mergeCell ref="AC58:AD58"/>
    <mergeCell ref="AE58:AF58"/>
    <mergeCell ref="AC59:AD59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S64:Y64"/>
    <mergeCell ref="S65:Y65"/>
    <mergeCell ref="S66:Y66"/>
    <mergeCell ref="F67:G67"/>
    <mergeCell ref="F68:G68"/>
    <mergeCell ref="F58:G58"/>
    <mergeCell ref="O65:P65"/>
    <mergeCell ref="AC73:AD73"/>
    <mergeCell ref="AE59:AF59"/>
    <mergeCell ref="AE60:AF60"/>
    <mergeCell ref="AE61:AF61"/>
    <mergeCell ref="AE62:AF62"/>
    <mergeCell ref="AE63:AF63"/>
    <mergeCell ref="AE64:AF64"/>
    <mergeCell ref="AE70:AF70"/>
    <mergeCell ref="AE71:AF71"/>
    <mergeCell ref="AE72:AF72"/>
    <mergeCell ref="AE73:AF73"/>
    <mergeCell ref="AE65:AF65"/>
    <mergeCell ref="AE66:AF66"/>
    <mergeCell ref="AE67:AF67"/>
    <mergeCell ref="AE68:AF68"/>
    <mergeCell ref="AE69:AF69"/>
  </mergeCells>
  <conditionalFormatting sqref="Q31">
    <cfRule type="iconSet" priority="5">
      <iconSet iconSet="3Symbols2">
        <cfvo type="percent" val="0"/>
        <cfvo type="num" val="0.2" gte="0"/>
        <cfvo type="num" val="0.3"/>
      </iconSet>
    </cfRule>
  </conditionalFormatting>
  <conditionalFormatting sqref="U12:V12 S15:V16 S21:V21">
    <cfRule type="containsText" dxfId="0" priority="4" operator="containsText" text="X">
      <formula>NOT(ISERROR(SEARCH("X",S12)))</formula>
    </cfRule>
  </conditionalFormatting>
  <conditionalFormatting sqref="AA37:AB42 AA44:AB44">
    <cfRule type="iconSet" priority="2">
      <iconSet iconSet="3Symbols2">
        <cfvo type="percent" val="0"/>
        <cfvo type="num" val="0.2"/>
        <cfvo type="num" val="0.3"/>
      </iconSet>
    </cfRule>
  </conditionalFormatting>
  <conditionalFormatting sqref="AA51:AB51">
    <cfRule type="iconSet" priority="1">
      <iconSet iconSet="3Symbols2">
        <cfvo type="percent" val="0"/>
        <cfvo type="num" val="0.2"/>
        <cfvo type="num" val="0.3"/>
      </iconSet>
    </cfRule>
  </conditionalFormatting>
  <dataValidations count="3">
    <dataValidation type="date" operator="greaterThan" allowBlank="1" showInputMessage="1" showErrorMessage="1" error="POR FAVOR PONER LA FECHA EN EL SIGUIENTE FORMATO: 00/00/2000" sqref="K9:O10" xr:uid="{C6946F4D-D253-4AA4-90F4-071D3B55C4E5}">
      <formula1>45078</formula1>
    </dataValidation>
    <dataValidation showInputMessage="1" showErrorMessage="1" error="RESPONDE LA PREGUNTA ANTERIOR PARA HABILITAR EL CAMPO" sqref="R8:W8" xr:uid="{00149669-9039-497C-A1C4-F93D77247AA5}"/>
    <dataValidation allowBlank="1" showInputMessage="1" sqref="AC59:AC73 M59:M73 C34:H34 I62:I73" xr:uid="{7E907FD3-2939-42F3-B0FD-FE174110B5F7}"/>
  </dataValidations>
  <pageMargins left="0.23622047244094491" right="0.23622047244094491" top="0.74803149606299213" bottom="0.74803149606299213" header="0.31496062992125984" footer="0.31496062992125984"/>
  <pageSetup scale="35" orientation="portrait" r:id="rId1"/>
  <headerFooter>
    <oddFooter>&amp;R&amp;D&amp;T&amp;F</oddFooter>
  </headerFooter>
  <ignoredErrors>
    <ignoredError sqref="AA36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4CD5EAC-CFFF-4BC5-8392-1DC4242E0599}">
            <xm:f>NOT(ISERROR(SEARCH("-",S12)))</xm:f>
            <xm:f>"-"</xm:f>
            <x14:dxf>
              <fill>
                <patternFill>
                  <bgColor theme="5" tint="0.79998168889431442"/>
                </patternFill>
              </fill>
            </x14:dxf>
          </x14:cfRule>
          <xm:sqref>U12:V12 S15:V16 S21:V21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xr:uid="{D8DA83D7-C46E-411B-8FB3-166E90C33914}">
          <x14:formula1>
            <xm:f>LISTA!$B$1</xm:f>
          </x14:formula1>
          <xm:sqref>K11:O11</xm:sqref>
        </x14:dataValidation>
        <x14:dataValidation type="list" allowBlank="1" showInputMessage="1" showErrorMessage="1" xr:uid="{DE02EC1F-DE89-41FF-95D6-2E2BAFDC4650}">
          <x14:formula1>
            <xm:f>LISTA!$D$1:$D$2</xm:f>
          </x14:formula1>
          <xm:sqref>D22:H22 D47 R7:W7</xm:sqref>
        </x14:dataValidation>
        <x14:dataValidation type="list" allowBlank="1" showInputMessage="1" showErrorMessage="1" xr:uid="{6EB1CEA7-B7B4-4213-A235-5C9586BB81DA}">
          <x14:formula1>
            <xm:f>LISTA!$E$1:$E$2</xm:f>
          </x14:formula1>
          <xm:sqref>D11:H11</xm:sqref>
        </x14:dataValidation>
        <x14:dataValidation type="list" allowBlank="1" showInputMessage="1" showErrorMessage="1" xr:uid="{8563856F-EC7B-481F-86EB-68420E8A03E6}">
          <x14:formula1>
            <xm:f>LISTA!$F$1:$F$2</xm:f>
          </x14:formula1>
          <xm:sqref>D52:G52 X11 J59</xm:sqref>
        </x14:dataValidation>
        <x14:dataValidation type="list" allowBlank="1" showInputMessage="1" showErrorMessage="1" xr:uid="{7CCBA67A-78C3-4CFA-8E82-EA8828ED7884}">
          <x14:formula1>
            <xm:f>LISTA!$I$1:$I$2</xm:f>
          </x14:formula1>
          <xm:sqref>K24:O24</xm:sqref>
        </x14:dataValidation>
        <x14:dataValidation type="list" allowBlank="1" showInputMessage="1" showErrorMessage="1" xr:uid="{191EA35F-DE5E-46D2-8529-35EEE9330420}">
          <x14:formula1>
            <xm:f>LISTA!$K$1:$K$4</xm:f>
          </x14:formula1>
          <xm:sqref>K26:O26</xm:sqref>
        </x14:dataValidation>
        <x14:dataValidation type="list" allowBlank="1" showInputMessage="1" showErrorMessage="1" xr:uid="{7006AC1A-EBA7-4F48-A58C-ED13C1A6ACC2}">
          <x14:formula1>
            <xm:f>LISTA!$T$1:$T$3</xm:f>
          </x14:formula1>
          <xm:sqref>D49:G49</xm:sqref>
        </x14:dataValidation>
        <x14:dataValidation type="list" allowBlank="1" showInputMessage="1" showErrorMessage="1" xr:uid="{E36A859E-9B4A-49F8-BD53-C1194BC3489F}">
          <x14:formula1>
            <xm:f>LISTA!$R$2:$R$3</xm:f>
          </x14:formula1>
          <xm:sqref>Q14</xm:sqref>
        </x14:dataValidation>
        <x14:dataValidation type="list" allowBlank="1" showInputMessage="1" showErrorMessage="1" xr:uid="{EDD1762C-56B3-4217-A7E4-A674157B32EF}">
          <x14:formula1>
            <xm:f>LISTA!$E$16:$E$19</xm:f>
          </x14:formula1>
          <xm:sqref>K19</xm:sqref>
        </x14:dataValidation>
        <x14:dataValidation type="list" allowBlank="1" showInputMessage="1" xr:uid="{E6FCA3E3-1C5B-4886-95D1-169FD2C4F07B}">
          <x14:formula1>
            <xm:f>LISTA!$B$7:$B$15</xm:f>
          </x14:formula1>
          <xm:sqref>C37:H42</xm:sqref>
        </x14:dataValidation>
        <x14:dataValidation type="list" allowBlank="1" showInputMessage="1" showErrorMessage="1" xr:uid="{4747202C-07F9-42AB-828B-6F1AA4B18F7E}">
          <x14:formula1>
            <xm:f>LISTA!$G$16:$G$18</xm:f>
          </x14:formula1>
          <xm:sqref>K84:M95</xm:sqref>
        </x14:dataValidation>
        <x14:dataValidation type="list" allowBlank="1" showInputMessage="1" promptTitle="INDICA LA OPCIÓN CORRESPONDIENTE" xr:uid="{1F91B858-7B8E-4E48-9846-FC6027D69DAA}">
          <x14:formula1>
            <xm:f>LISTA!$O$1:$O$5</xm:f>
          </x14:formula1>
          <xm:sqref>Q84:Q95</xm:sqref>
        </x14:dataValidation>
        <x14:dataValidation type="list" allowBlank="1" showInputMessage="1" showErrorMessage="1" xr:uid="{6170B24E-B58B-48F1-A1DC-D246484924B3}">
          <x14:formula1>
            <xm:f>LISTA!$B$28:$B$31</xm:f>
          </x14:formula1>
          <xm:sqref>K18</xm:sqref>
        </x14:dataValidation>
        <x14:dataValidation type="list" allowBlank="1" showInputMessage="1" showErrorMessage="1" xr:uid="{B1A51051-1E77-4C3D-BB3A-CF20455732F4}">
          <x14:formula1>
            <xm:f>LISTA!$B$33:$B$35</xm:f>
          </x14:formula1>
          <xm:sqref>O18</xm:sqref>
        </x14:dataValidation>
        <x14:dataValidation type="list" allowBlank="1" showInputMessage="1" showErrorMessage="1" xr:uid="{E1D7C5BB-E0FA-48AB-BC8D-E6D2D5E7AC86}">
          <x14:formula1>
            <xm:f>LISTA!$J$1:$J$4</xm:f>
          </x14:formula1>
          <xm:sqref>K25:O25</xm:sqref>
        </x14:dataValidation>
        <x14:dataValidation type="list" allowBlank="1" showInputMessage="1" showErrorMessage="1" xr:uid="{3432400A-7319-496E-ADBF-DC8F00B3CAB9}">
          <x14:formula1>
            <xm:f>LISTA!$O$1:$O$5</xm:f>
          </x14:formula1>
          <xm:sqref>Q59:Q73</xm:sqref>
        </x14:dataValidation>
        <x14:dataValidation type="list" allowBlank="1" showInputMessage="1" xr:uid="{D80E22F2-A44F-48BA-99D8-AA938D34E2F2}">
          <x14:formula1>
            <xm:f>LISTA!$B$41:$B$59</xm:f>
          </x14:formula1>
          <xm:sqref>H59:H73</xm:sqref>
        </x14:dataValidation>
        <x14:dataValidation type="list" showInputMessage="1" xr:uid="{F27192C7-C85C-4891-BC6F-37D3B7259767}">
          <x14:formula1>
            <xm:f>LISTA!$P$1:$P$6</xm:f>
          </x14:formula1>
          <xm:sqref>K12:O12</xm:sqref>
        </x14:dataValidation>
        <x14:dataValidation type="list" allowBlank="1" xr:uid="{2A9ABE92-F232-48F1-A746-72AFF249B184}">
          <x14:formula1>
            <xm:f>LISTA!$M$16:$M$18</xm:f>
          </x14:formula1>
          <xm:sqref>K13:O13</xm:sqref>
        </x14:dataValidation>
        <x14:dataValidation type="list" allowBlank="1" xr:uid="{2DBA4A6D-D177-4263-9F5E-AA2F1409C549}">
          <x14:formula1>
            <xm:f>LISTA!$G$1:$G$4</xm:f>
          </x14:formula1>
          <xm:sqref>S59:Y73</xm:sqref>
        </x14:dataValidation>
        <x14:dataValidation type="list" allowBlank="1" xr:uid="{6DEBAC7A-68EE-46E1-AEEE-18BA83C00D8E}">
          <x14:formula1>
            <xm:f>LISTA!$H$16:$H$25</xm:f>
          </x14:formula1>
          <xm:sqref>C84:F95</xm:sqref>
        </x14:dataValidation>
        <x14:dataValidation type="list" allowBlank="1" showInputMessage="1" showErrorMessage="1" xr:uid="{FECBDFA5-C059-422B-B713-B23C6F251522}">
          <x14:formula1>
            <xm:f>LISTA!$M$1:$M$8</xm:f>
          </x14:formula1>
          <xm:sqref>K27:O27</xm:sqref>
        </x14:dataValidation>
        <x14:dataValidation type="list" allowBlank="1" showInputMessage="1" xr:uid="{242C554A-B383-4728-B5BB-A6B826E72DD8}">
          <x14:formula1>
            <xm:f>LISTA!$I$16:$I$25</xm:f>
          </x14:formula1>
          <xm:sqref>G84:I95</xm:sqref>
        </x14:dataValidation>
        <x14:dataValidation type="list" allowBlank="1" showInputMessage="1" showErrorMessage="1" xr:uid="{6EB81F6F-1928-47FA-80BE-7EADB5E6367C}">
          <x14:formula1>
            <xm:f>LISTA!$D$28:$D$29</xm:f>
          </x14:formula1>
          <xm:sqref>K17</xm:sqref>
        </x14:dataValidation>
        <x14:dataValidation type="list" allowBlank="1" showInputMessage="1" xr:uid="{A02DEED5-8A70-4D55-9FCA-3B26F3491032}">
          <x14:formula1>
            <xm:f>LISTA!$B$17:$B$24</xm:f>
          </x14:formula1>
          <xm:sqref>F59:G73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F7A9-9CC4-456A-8659-AA8AA6F903F2}">
  <sheetPr codeName="Hoja2">
    <tabColor theme="5" tint="0.39997558519241921"/>
  </sheetPr>
  <dimension ref="B1:T59"/>
  <sheetViews>
    <sheetView showGridLines="0" workbookViewId="0">
      <selection activeCell="B17" sqref="B17:B24"/>
    </sheetView>
  </sheetViews>
  <sheetFormatPr baseColWidth="10" defaultColWidth="11.5546875" defaultRowHeight="14.4" x14ac:dyDescent="0.3"/>
  <cols>
    <col min="1" max="8" width="11.5546875" style="1"/>
    <col min="9" max="9" width="15.77734375" style="1" customWidth="1"/>
    <col min="10" max="10" width="17.77734375" style="1" bestFit="1" customWidth="1"/>
    <col min="11" max="16384" width="11.5546875" style="1"/>
  </cols>
  <sheetData>
    <row r="1" spans="2:20" x14ac:dyDescent="0.3">
      <c r="B1" s="1" t="s">
        <v>19</v>
      </c>
      <c r="D1" s="1" t="s">
        <v>95</v>
      </c>
      <c r="E1" s="1" t="s">
        <v>17</v>
      </c>
      <c r="F1" s="1" t="s">
        <v>24</v>
      </c>
      <c r="G1" s="1" t="s">
        <v>96</v>
      </c>
      <c r="I1" s="1" t="s">
        <v>97</v>
      </c>
      <c r="J1" s="1" t="s">
        <v>96</v>
      </c>
      <c r="K1" s="1" t="s">
        <v>192</v>
      </c>
      <c r="M1" s="1" t="s">
        <v>98</v>
      </c>
      <c r="O1" s="1" t="s">
        <v>99</v>
      </c>
      <c r="P1" s="1" t="s">
        <v>100</v>
      </c>
      <c r="R1" s="1" t="s">
        <v>22</v>
      </c>
      <c r="T1" s="1" t="s">
        <v>101</v>
      </c>
    </row>
    <row r="2" spans="2:20" x14ac:dyDescent="0.3">
      <c r="D2" s="1" t="s">
        <v>40</v>
      </c>
      <c r="E2" s="1" t="s">
        <v>102</v>
      </c>
      <c r="F2" s="1" t="s">
        <v>36</v>
      </c>
      <c r="G2" s="1" t="s">
        <v>97</v>
      </c>
      <c r="I2" s="1" t="s">
        <v>194</v>
      </c>
      <c r="J2" s="1" t="s">
        <v>97</v>
      </c>
      <c r="K2" s="1" t="s">
        <v>195</v>
      </c>
      <c r="M2" s="1" t="s">
        <v>190</v>
      </c>
      <c r="O2" s="1" t="s">
        <v>104</v>
      </c>
      <c r="P2" s="1" t="s">
        <v>105</v>
      </c>
      <c r="R2" s="1" t="s">
        <v>36</v>
      </c>
      <c r="T2" s="1" t="s">
        <v>106</v>
      </c>
    </row>
    <row r="3" spans="2:20" x14ac:dyDescent="0.3">
      <c r="G3" s="1" t="s">
        <v>107</v>
      </c>
      <c r="J3" s="1" t="s">
        <v>107</v>
      </c>
      <c r="K3" s="1" t="s">
        <v>191</v>
      </c>
      <c r="M3" s="1" t="s">
        <v>103</v>
      </c>
      <c r="O3" s="1" t="s">
        <v>109</v>
      </c>
      <c r="P3" s="1" t="s">
        <v>110</v>
      </c>
      <c r="R3" s="1" t="s">
        <v>24</v>
      </c>
      <c r="T3" s="1" t="s">
        <v>111</v>
      </c>
    </row>
    <row r="4" spans="2:20" x14ac:dyDescent="0.3">
      <c r="G4" s="1" t="s">
        <v>112</v>
      </c>
      <c r="J4" s="1" t="s">
        <v>113</v>
      </c>
      <c r="K4" t="s">
        <v>193</v>
      </c>
      <c r="M4" s="1" t="s">
        <v>108</v>
      </c>
      <c r="O4" s="1" t="s">
        <v>114</v>
      </c>
      <c r="P4" s="1" t="s">
        <v>115</v>
      </c>
    </row>
    <row r="5" spans="2:20" x14ac:dyDescent="0.3">
      <c r="M5" s="1" t="s">
        <v>116</v>
      </c>
      <c r="O5" s="1" t="s">
        <v>117</v>
      </c>
      <c r="P5" s="1" t="s">
        <v>118</v>
      </c>
    </row>
    <row r="6" spans="2:20" x14ac:dyDescent="0.3">
      <c r="M6" s="1" t="s">
        <v>121</v>
      </c>
      <c r="P6" s="1" t="s">
        <v>119</v>
      </c>
    </row>
    <row r="7" spans="2:20" x14ac:dyDescent="0.3">
      <c r="B7" s="1" t="s">
        <v>120</v>
      </c>
      <c r="M7" s="1" t="s">
        <v>189</v>
      </c>
    </row>
    <row r="8" spans="2:20" x14ac:dyDescent="0.3">
      <c r="B8" s="1" t="s">
        <v>122</v>
      </c>
      <c r="M8" s="1" t="s">
        <v>124</v>
      </c>
    </row>
    <row r="9" spans="2:20" x14ac:dyDescent="0.3">
      <c r="B9" s="1" t="s">
        <v>123</v>
      </c>
    </row>
    <row r="10" spans="2:20" x14ac:dyDescent="0.3">
      <c r="B10" s="1" t="s">
        <v>125</v>
      </c>
    </row>
    <row r="11" spans="2:20" x14ac:dyDescent="0.3">
      <c r="B11" s="1" t="s">
        <v>126</v>
      </c>
    </row>
    <row r="12" spans="2:20" x14ac:dyDescent="0.3">
      <c r="B12" s="1" t="s">
        <v>127</v>
      </c>
    </row>
    <row r="13" spans="2:20" x14ac:dyDescent="0.3">
      <c r="B13" s="1" t="s">
        <v>128</v>
      </c>
      <c r="C13" s="1" t="str">
        <f>UPPER(B13)</f>
        <v>CLOUD Y HOSTING (HUAWEI, SKYONE, AZURE, AWS)</v>
      </c>
    </row>
    <row r="14" spans="2:20" x14ac:dyDescent="0.3">
      <c r="B14" s="1" t="s">
        <v>129</v>
      </c>
    </row>
    <row r="15" spans="2:20" x14ac:dyDescent="0.3">
      <c r="B15" s="1" t="s">
        <v>119</v>
      </c>
    </row>
    <row r="16" spans="2:20" x14ac:dyDescent="0.3">
      <c r="E16" s="1" t="s">
        <v>130</v>
      </c>
      <c r="G16" s="1" t="s">
        <v>24</v>
      </c>
      <c r="H16" s="1" t="s">
        <v>131</v>
      </c>
      <c r="I16" s="1" t="s">
        <v>132</v>
      </c>
      <c r="M16" s="1" t="s">
        <v>112</v>
      </c>
    </row>
    <row r="17" spans="2:13" x14ac:dyDescent="0.3">
      <c r="B17" s="1" t="s">
        <v>147</v>
      </c>
      <c r="E17" s="1" t="s">
        <v>134</v>
      </c>
      <c r="G17" s="1" t="s">
        <v>36</v>
      </c>
      <c r="H17" s="1" t="s">
        <v>135</v>
      </c>
      <c r="I17" s="1" t="s">
        <v>136</v>
      </c>
      <c r="M17" s="1" t="s">
        <v>137</v>
      </c>
    </row>
    <row r="18" spans="2:13" x14ac:dyDescent="0.3">
      <c r="B18" s="1" t="s">
        <v>150</v>
      </c>
      <c r="E18" s="1" t="s">
        <v>139</v>
      </c>
      <c r="G18" s="1" t="s">
        <v>140</v>
      </c>
      <c r="H18" s="1" t="s">
        <v>141</v>
      </c>
      <c r="I18" s="1" t="s">
        <v>142</v>
      </c>
      <c r="M18" s="1" t="s">
        <v>119</v>
      </c>
    </row>
    <row r="19" spans="2:13" x14ac:dyDescent="0.3">
      <c r="B19" s="1" t="s">
        <v>138</v>
      </c>
      <c r="E19" s="1" t="s">
        <v>144</v>
      </c>
      <c r="H19" s="1" t="s">
        <v>145</v>
      </c>
      <c r="I19" s="1" t="s">
        <v>146</v>
      </c>
    </row>
    <row r="20" spans="2:13" x14ac:dyDescent="0.3">
      <c r="B20" s="1" t="s">
        <v>197</v>
      </c>
      <c r="H20" s="1" t="s">
        <v>148</v>
      </c>
      <c r="I20" s="1" t="s">
        <v>149</v>
      </c>
    </row>
    <row r="21" spans="2:13" x14ac:dyDescent="0.3">
      <c r="B21" s="1" t="s">
        <v>196</v>
      </c>
      <c r="H21" s="1" t="s">
        <v>151</v>
      </c>
      <c r="I21" s="1" t="s">
        <v>152</v>
      </c>
    </row>
    <row r="22" spans="2:13" x14ac:dyDescent="0.3">
      <c r="B22" s="1" t="s">
        <v>133</v>
      </c>
      <c r="H22" s="1" t="s">
        <v>153</v>
      </c>
      <c r="I22" s="1" t="s">
        <v>154</v>
      </c>
    </row>
    <row r="23" spans="2:13" x14ac:dyDescent="0.3">
      <c r="B23" s="1" t="s">
        <v>143</v>
      </c>
      <c r="H23" s="1" t="s">
        <v>156</v>
      </c>
      <c r="I23" s="1" t="s">
        <v>157</v>
      </c>
    </row>
    <row r="24" spans="2:13" x14ac:dyDescent="0.3">
      <c r="B24" s="1" t="s">
        <v>155</v>
      </c>
      <c r="H24" s="1" t="s">
        <v>158</v>
      </c>
      <c r="I24" s="1" t="s">
        <v>159</v>
      </c>
    </row>
    <row r="25" spans="2:13" x14ac:dyDescent="0.3">
      <c r="H25" s="1" t="s">
        <v>119</v>
      </c>
      <c r="I25" s="1" t="s">
        <v>119</v>
      </c>
    </row>
    <row r="27" spans="2:13" x14ac:dyDescent="0.3">
      <c r="B27" s="51" t="s">
        <v>143</v>
      </c>
      <c r="D27" s="51" t="s">
        <v>160</v>
      </c>
    </row>
    <row r="28" spans="2:13" x14ac:dyDescent="0.3">
      <c r="B28" s="1" t="s">
        <v>161</v>
      </c>
      <c r="D28" s="1" t="s">
        <v>162</v>
      </c>
    </row>
    <row r="29" spans="2:13" x14ac:dyDescent="0.3">
      <c r="B29" s="1" t="s">
        <v>163</v>
      </c>
      <c r="D29" s="1" t="s">
        <v>164</v>
      </c>
    </row>
    <row r="30" spans="2:13" x14ac:dyDescent="0.3">
      <c r="B30" s="1" t="s">
        <v>164</v>
      </c>
    </row>
    <row r="31" spans="2:13" x14ac:dyDescent="0.3">
      <c r="B31" s="1" t="s">
        <v>165</v>
      </c>
    </row>
    <row r="33" spans="2:2" x14ac:dyDescent="0.3">
      <c r="B33" s="1" t="s">
        <v>166</v>
      </c>
    </row>
    <row r="34" spans="2:2" x14ac:dyDescent="0.3">
      <c r="B34" s="1" t="s">
        <v>167</v>
      </c>
    </row>
    <row r="35" spans="2:2" x14ac:dyDescent="0.3">
      <c r="B35" s="1" t="s">
        <v>168</v>
      </c>
    </row>
    <row r="40" spans="2:2" x14ac:dyDescent="0.3">
      <c r="B40" s="1" t="s">
        <v>169</v>
      </c>
    </row>
    <row r="41" spans="2:2" x14ac:dyDescent="0.3">
      <c r="B41" s="1" t="s">
        <v>170</v>
      </c>
    </row>
    <row r="42" spans="2:2" x14ac:dyDescent="0.3">
      <c r="B42" s="1" t="s">
        <v>171</v>
      </c>
    </row>
    <row r="43" spans="2:2" x14ac:dyDescent="0.3">
      <c r="B43" s="1" t="s">
        <v>172</v>
      </c>
    </row>
    <row r="44" spans="2:2" x14ac:dyDescent="0.3">
      <c r="B44" s="1" t="s">
        <v>173</v>
      </c>
    </row>
    <row r="45" spans="2:2" x14ac:dyDescent="0.3">
      <c r="B45" s="1" t="s">
        <v>174</v>
      </c>
    </row>
    <row r="46" spans="2:2" x14ac:dyDescent="0.3">
      <c r="B46" s="1" t="s">
        <v>175</v>
      </c>
    </row>
    <row r="47" spans="2:2" x14ac:dyDescent="0.3">
      <c r="B47" s="1" t="s">
        <v>176</v>
      </c>
    </row>
    <row r="48" spans="2:2" x14ac:dyDescent="0.3">
      <c r="B48" s="1" t="s">
        <v>177</v>
      </c>
    </row>
    <row r="49" spans="2:2" x14ac:dyDescent="0.3">
      <c r="B49" s="1" t="s">
        <v>178</v>
      </c>
    </row>
    <row r="50" spans="2:2" x14ac:dyDescent="0.3">
      <c r="B50" s="1" t="s">
        <v>179</v>
      </c>
    </row>
    <row r="51" spans="2:2" x14ac:dyDescent="0.3">
      <c r="B51" s="1" t="s">
        <v>180</v>
      </c>
    </row>
    <row r="52" spans="2:2" x14ac:dyDescent="0.3">
      <c r="B52" s="1" t="s">
        <v>181</v>
      </c>
    </row>
    <row r="53" spans="2:2" x14ac:dyDescent="0.3">
      <c r="B53" s="1" t="s">
        <v>182</v>
      </c>
    </row>
    <row r="54" spans="2:2" x14ac:dyDescent="0.3">
      <c r="B54" s="1" t="s">
        <v>183</v>
      </c>
    </row>
    <row r="55" spans="2:2" x14ac:dyDescent="0.3">
      <c r="B55" s="1" t="s">
        <v>184</v>
      </c>
    </row>
    <row r="56" spans="2:2" x14ac:dyDescent="0.3">
      <c r="B56" s="1" t="s">
        <v>185</v>
      </c>
    </row>
    <row r="57" spans="2:2" x14ac:dyDescent="0.3">
      <c r="B57" s="1" t="s">
        <v>186</v>
      </c>
    </row>
    <row r="58" spans="2:2" x14ac:dyDescent="0.3">
      <c r="B58" s="1" t="s">
        <v>187</v>
      </c>
    </row>
    <row r="59" spans="2:2" x14ac:dyDescent="0.3">
      <c r="B59" s="1" t="s">
        <v>188</v>
      </c>
    </row>
  </sheetData>
  <sortState xmlns:xlrd2="http://schemas.microsoft.com/office/spreadsheetml/2017/richdata2" ref="B17:B24">
    <sortCondition ref="B17:B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DB772A856F0A498A96F10433BF2885" ma:contentTypeVersion="15" ma:contentTypeDescription="Crear nuevo documento." ma:contentTypeScope="" ma:versionID="a8cdcbbd456f372c12af98278024235f">
  <xsd:schema xmlns:xsd="http://www.w3.org/2001/XMLSchema" xmlns:xs="http://www.w3.org/2001/XMLSchema" xmlns:p="http://schemas.microsoft.com/office/2006/metadata/properties" xmlns:ns2="0f8b2031-b76b-4704-b258-6d7ad0a54ccb" xmlns:ns3="59cc6ae5-a010-4c23-95f7-b99e41ff18af" xmlns:ns4="a9785b4e-9aaa-4324-b69e-3f1f6ed79b0f" targetNamespace="http://schemas.microsoft.com/office/2006/metadata/properties" ma:root="true" ma:fieldsID="8bc88285c35f44b0d520343d777eb8b9" ns2:_="" ns3:_="" ns4:_="">
    <xsd:import namespace="0f8b2031-b76b-4704-b258-6d7ad0a54ccb"/>
    <xsd:import namespace="59cc6ae5-a010-4c23-95f7-b99e41ff18af"/>
    <xsd:import namespace="a9785b4e-9aaa-4324-b69e-3f1f6ed79b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b2031-b76b-4704-b258-6d7ad0a54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0ddd21b-762e-48f6-9c4a-52ac7d68ae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c6ae5-a010-4c23-95f7-b99e41ff18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981052-0986-420b-8c29-f28883ffcdda}" ma:internalName="TaxCatchAll" ma:showField="CatchAllData" ma:web="a9785b4e-9aaa-4324-b69e-3f1f6ed79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85b4e-9aaa-4324-b69e-3f1f6ed79b0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8b2031-b76b-4704-b258-6d7ad0a54ccb">
      <Terms xmlns="http://schemas.microsoft.com/office/infopath/2007/PartnerControls"/>
    </lcf76f155ced4ddcb4097134ff3c332f>
    <TaxCatchAll xmlns="59cc6ae5-a010-4c23-95f7-b99e41ff18a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750E7DD-0AD5-4618-9BD0-283AE5075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b2031-b76b-4704-b258-6d7ad0a54ccb"/>
    <ds:schemaRef ds:uri="59cc6ae5-a010-4c23-95f7-b99e41ff18af"/>
    <ds:schemaRef ds:uri="a9785b4e-9aaa-4324-b69e-3f1f6ed79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2AFA6A-76FC-4E3D-B5E1-CF7DEC7459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252531-87BB-4324-86E7-CA2B92C732BB}">
  <ds:schemaRefs>
    <ds:schemaRef ds:uri="http://purl.org/dc/dcmitype/"/>
    <ds:schemaRef ds:uri="http://purl.org/dc/elements/1.1/"/>
    <ds:schemaRef ds:uri="http://schemas.microsoft.com/office/infopath/2007/PartnerControls"/>
    <ds:schemaRef ds:uri="a9785b4e-9aaa-4324-b69e-3f1f6ed79b0f"/>
    <ds:schemaRef ds:uri="http://schemas.microsoft.com/office/2006/documentManagement/types"/>
    <ds:schemaRef ds:uri="http://purl.org/dc/terms/"/>
    <ds:schemaRef ds:uri="http://schemas.microsoft.com/office/2006/metadata/properties"/>
    <ds:schemaRef ds:uri="59cc6ae5-a010-4c23-95f7-b99e41ff18af"/>
    <ds:schemaRef ds:uri="http://schemas.openxmlformats.org/package/2006/metadata/core-properties"/>
    <ds:schemaRef ds:uri="0f8b2031-b76b-4704-b258-6d7ad0a54ccb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12D6F4D-BAC9-4111-A5D3-C56A8631BE8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54623d6-1504-4f22-a146-b7c72637766a}" enabled="0" method="" siteId="{654623d6-1504-4f22-a146-b7c7263776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SALES</vt:lpstr>
      <vt:lpstr>LISTA</vt:lpstr>
      <vt:lpstr>SALES!Área_de_impresión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Ilse Martínez</dc:creator>
  <cp:keywords/>
  <dc:description/>
  <cp:lastModifiedBy>Ilse Martínez</cp:lastModifiedBy>
  <cp:revision/>
  <dcterms:created xsi:type="dcterms:W3CDTF">2024-06-21T19:21:15Z</dcterms:created>
  <dcterms:modified xsi:type="dcterms:W3CDTF">2026-03-18T23:18:26Z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0x0101005BDB772A856F0A498A96F10433BF2885</vt:lpwstr>
  </property>
  <property fmtid="{D5CDD505-2E9C-101B-9397-08002B2CF9AE}" pid="3" name="MediaServiceImageTags">
    <vt:lpwstr/>
  </property>
</Properties>
</file>